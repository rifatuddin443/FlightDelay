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1454E7FB-1C95-4AAE-B9D5-8A55CB95BD4C}" xr6:coauthVersionLast="47" xr6:coauthVersionMax="47" xr10:uidLastSave="{00000000-0000-0000-0000-000000000000}"/>
  <bookViews>
    <workbookView xWindow="7584" yWindow="0" windowWidth="12336" windowHeight="11448" activeTab="1" xr2:uid="{00000000-000D-0000-FFFF-FFFF00000000}"/>
  </bookViews>
  <sheets>
    <sheet name="Sheet1" sheetId="6" r:id="rId1"/>
    <sheet name="udata " sheetId="8" r:id="rId2"/>
    <sheet name="cdata epsilon" sheetId="7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<sst xmlns="http://schemas.openxmlformats.org/spreadsheetml/2006/main" count="112" uniqueCount="87">
  <si>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</si>
  <si>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</si>
  <si>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</si>
  <si>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</si>
  <si>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</si>
  <si>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</si>
  <si>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</si>
  <si>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</si>
  <si>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</si>
  <si>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</si>
  <si>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</si>
  <si>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</si>
  <si>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</si>
  <si>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</si>
  <si>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</si>
  <si>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</si>
  <si>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</si>
  <si>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</si>
  <si>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</si>
  <si>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</si>
  <si>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target_epsilon</t>
  </si>
  <si>
    <t>run</t>
  </si>
  <si>
    <t>cnnopacus_cdata_sigma0_34_train_results_table_20260117_023751</t>
  </si>
  <si>
    <t>cnnopacus_cdata_sigma0_38_train_results_table_20260117_025453</t>
  </si>
  <si>
    <t>cnnopacus_cdata_sigma0_43_train_results_table_20260117_023046</t>
  </si>
  <si>
    <t>cnnopacus_cdata_sigma0_61_train_results_table_20260117_025545</t>
  </si>
  <si>
    <t>avg_classification_accuracy</t>
  </si>
  <si>
    <t>avg_classification_f1</t>
  </si>
  <si>
    <t>avg_classification_precision</t>
  </si>
  <si>
    <t>avg_classification_recall</t>
  </si>
  <si>
    <t>avg_regression_mae_overall</t>
  </si>
  <si>
    <t>avg_regression_rmse_overall</t>
  </si>
  <si>
    <t>avg_final_epsilon</t>
  </si>
  <si>
    <t>avg_regression_mae_delayed</t>
  </si>
  <si>
    <t>avg_regression_rmse_delayed</t>
  </si>
  <si>
    <t>avg_regression_mae_nondelayed</t>
  </si>
  <si>
    <t>avg_regression_rmse_nondelayed</t>
  </si>
  <si>
    <t>avg_stage1_time_seconds</t>
  </si>
  <si>
    <t>avg_stage2_time_seconds</t>
  </si>
  <si>
    <t>avg_stage3_time_seconds</t>
  </si>
  <si>
    <t>avg_total_training_time_minutes</t>
  </si>
  <si>
    <t>2037.683 - approx</t>
  </si>
  <si>
    <t>Run Tag</t>
  </si>
  <si>
    <t>DP</t>
  </si>
  <si>
    <t>Final ε</t>
  </si>
  <si>
    <t>Overall MAE</t>
  </si>
  <si>
    <t>Arr MAE</t>
  </si>
  <si>
    <t>Dep MAE</t>
  </si>
  <si>
    <t>Arr MAE Delayed</t>
  </si>
  <si>
    <t>Dep MAE Delayed</t>
  </si>
  <si>
    <t>Arr MAE Non-delayed</t>
  </si>
  <si>
    <t>Dep MAE Non-delayed</t>
  </si>
  <si>
    <t>cnnopacus_udata_sigma0_00</t>
  </si>
  <si>
    <t>F</t>
  </si>
  <si>
    <t>cnnopacus_udata_sigma0_71</t>
  </si>
  <si>
    <t>T</t>
  </si>
  <si>
    <t>cnnopacus_udata_sigma0_34</t>
  </si>
  <si>
    <t>cnnopacus_udata_sigma0_33</t>
  </si>
  <si>
    <t>cnnopacus_udata_sigma0_31</t>
  </si>
  <si>
    <t>Sigma</t>
  </si>
  <si>
    <t>DP Enabled</t>
  </si>
  <si>
    <t>Target Epsilon</t>
  </si>
  <si>
    <t>Final Epsilon</t>
  </si>
  <si>
    <t>Arrival MAE</t>
  </si>
  <si>
    <t>Departure MAE</t>
  </si>
  <si>
    <t>Precision</t>
  </si>
  <si>
    <t>Recall</t>
  </si>
  <si>
    <t>F1 Score</t>
  </si>
  <si>
    <t>Accuracy</t>
  </si>
  <si>
    <t>MAE Del Arr</t>
  </si>
  <si>
    <t>MAE Del Dep</t>
  </si>
  <si>
    <t>MAE NonDel Arr</t>
  </si>
  <si>
    <t>MAE NonDel Dep</t>
  </si>
  <si>
    <t>Arrival MAE delayed</t>
  </si>
  <si>
    <t>ep</t>
  </si>
  <si>
    <t>Departure MAE delayed</t>
  </si>
  <si>
    <t>Arrival MAE non del</t>
  </si>
  <si>
    <t>Departure MAE non del</t>
  </si>
  <si>
    <t>Overall MAE (min)</t>
  </si>
  <si>
    <t>Arrival MAE (min)</t>
  </si>
  <si>
    <t>Departure MAE (min)</t>
  </si>
  <si>
    <t>regression_mae_ nondelayed</t>
  </si>
  <si>
    <t>cnnopacus_udata_sigma0_37</t>
  </si>
  <si>
    <t>cnnopacus_cdata_sigma0_38 (115614)</t>
  </si>
  <si>
    <t>cnnopacus_cdata_sigma0_38 (121259)</t>
  </si>
  <si>
    <t>Run Tag (Timestamp) threshold change</t>
  </si>
  <si>
    <t>threshold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</si>
</sst>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207080646206459"/>
          <c:y val="2.8376643713363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regression_mae_delayed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</c:numRef>
          </c:xVal>
          <c:yVal>
            <c:numRef>
              <c:f>Sheet1!$E$2:$E$5</c:f>
              <c:numCache>
                <c:formatCode>General</c:formatCode>
                <c:ptCount val="4"/>
                <c:pt idx="0">
                  <c:v>8.2672139664071604</c:v>
                </c:pt>
                <c:pt idx="1">
                  <c:v>8.5147397498501007</c:v>
                </c:pt>
                <c:pt idx="2">
                  <c:v>8.7051407717552696</c:v>
                </c:pt>
                <c:pt idx="3">
                  <c:v>8.8102144397220403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28-4BC9-B1E2-E6008C026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228-4BC9-B1E2-E6008C0262E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228-4BC9-B1E2-E6008C0262E7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Sheet1!$F$1</c:f>
              <c:strCache>
                <c:ptCount val="1"/>
                <c:pt idx="0">
                  <c:v>regression_mae_ nondelayed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4.9284034311393201</c:v>
                </c:pt>
                <c:pt idx="1">
                  <c:v>4.24443066860026</c:v>
                </c:pt>
                <c:pt idx="2">
                  <c:v>4.3567055869653597</c:v>
                </c:pt>
                <c:pt idx="3">
                  <c:v>4.2813004793063696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1-6B42-4525-9C8B-C9E1A04B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42-4525-9C8B-C9E1A04B5B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Sheet1!$G$1</c15:sqref>
                        </c15:formulaRef>
                      </c:ext>
                    </c:extLst>
                    <c:strCache>
                      <c:ptCount val="1"/>
                      <c:pt idx="0">
                        <c:v>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5.7363358065724803</c:v>
                      </c:pt>
                      <c:pt idx="1">
                        <c:v>5.27776901571651</c:v>
                      </c:pt>
                      <c:pt idx="2">
                        <c:v>5.40894905246126</c:v>
                      </c:pt>
                      <c:pt idx="3">
                        <c:v>5.3772165774258802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42-4525-9C8B-C9E1A04B5B54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strRef>
              <c:f>Sheet1!$G$1</c:f>
              <c:strCache>
                <c:ptCount val="1"/>
                <c:pt idx="0">
                  <c:v>regression_mae_overall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Sheet1!$B$2:$B$5</c:f>
              <c:numCache>
                <c:formatCode>General</c:formatCode>
                <c:ptCount val="4"/>
                <c:pt idx="0">
                  <c:v>23.976868146043799</c:v>
                </c:pt>
                <c:pt idx="1">
                  <c:v>14.9978621331353</c:v>
                </c:pt>
                <c:pt idx="2">
                  <c:v>7.3646261980491197</c:v>
                </c:pt>
                <c:pt idx="3">
                  <c:v>1.9904279458387499</c:v>
                </c:pt>
              </c:numCache>
              <c:extLst xmlns:c15="http://schemas.microsoft.com/office/drawing/2012/chart"/>
            </c:numRef>
          </c:xVal>
          <c:yVal>
            <c:numRef>
              <c:f>Sheet1!$G$2:$G$5</c:f>
              <c:numCache>
                <c:formatCode>General</c:formatCode>
                <c:ptCount val="4"/>
                <c:pt idx="0">
                  <c:v>5.7363358065724803</c:v>
                </c:pt>
                <c:pt idx="1">
                  <c:v>5.27776901571651</c:v>
                </c:pt>
                <c:pt idx="2">
                  <c:v>5.40894905246126</c:v>
                </c:pt>
                <c:pt idx="3">
                  <c:v>5.3772165774258802</c:v>
                </c:pt>
              </c:numCache>
              <c:extLst xmlns:c15="http://schemas.microsoft.com/office/drawing/2012/chart"/>
            </c:numRef>
          </c:yVal>
          <c:smooth val="1"/>
          <c:extLst>
            <c:ext xmlns:c16="http://schemas.microsoft.com/office/drawing/2014/chart" uri="{C3380CC4-5D6E-409C-BE32-E72D297353CC}">
              <c16:uniqueId val="{00000002-1DAF-4AC3-842C-9010B491A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7998687"/>
        <c:axId val="111799494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Sheet1!$E$1</c15:sqref>
                        </c15:formulaRef>
                      </c:ext>
                    </c:extLst>
                    <c:strCache>
                      <c:ptCount val="1"/>
                      <c:pt idx="0">
                        <c:v>regression_mae_delayed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Sheet1!$E$2:$E$5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8.2672139664071604</c:v>
                      </c:pt>
                      <c:pt idx="1">
                        <c:v>8.5147397498501007</c:v>
                      </c:pt>
                      <c:pt idx="2">
                        <c:v>8.7051407717552696</c:v>
                      </c:pt>
                      <c:pt idx="3">
                        <c:v>8.8102144397220403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DAF-4AC3-842C-9010B491AEAD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regression_mae_ 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23.976868146043799</c:v>
                      </c:pt>
                      <c:pt idx="1">
                        <c:v>14.9978621331353</c:v>
                      </c:pt>
                      <c:pt idx="2">
                        <c:v>7.3646261980491197</c:v>
                      </c:pt>
                      <c:pt idx="3">
                        <c:v>1.9904279458387499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Sheet1!$F$2:$F$5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4.9284034311393201</c:v>
                      </c:pt>
                      <c:pt idx="1">
                        <c:v>4.24443066860026</c:v>
                      </c:pt>
                      <c:pt idx="2">
                        <c:v>4.3567055869653597</c:v>
                      </c:pt>
                      <c:pt idx="3">
                        <c:v>4.2813004793063696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DAF-4AC3-842C-9010B491AEAD}"/>
                  </c:ext>
                </c:extLst>
              </c15:ser>
            </c15:filteredScatterSeries>
          </c:ext>
        </c:extLst>
      </c:scatterChart>
      <c:valAx>
        <c:axId val="111799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4943"/>
        <c:crosses val="autoZero"/>
        <c:crossBetween val="midCat"/>
      </c:valAx>
      <c:valAx>
        <c:axId val="111799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99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MAE Delayed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'!$G$1</c:f>
              <c:strCache>
                <c:ptCount val="1"/>
                <c:pt idx="0">
                  <c:v>Arr MAE Delayed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'!$G$2:$G$8</c:f>
              <c:numCache>
                <c:formatCode>General</c:formatCode>
                <c:ptCount val="5"/>
                <c:pt idx="0">
                  <c:v>10.796200000000001</c:v>
                </c:pt>
                <c:pt idx="1">
                  <c:v>9.3282000000000007</c:v>
                </c:pt>
                <c:pt idx="2">
                  <c:v>8.8496000000000006</c:v>
                </c:pt>
                <c:pt idx="3">
                  <c:v>8.7787000000000006</c:v>
                </c:pt>
                <c:pt idx="4">
                  <c:v>7.6802999999999999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4E-4AEF-8DF1-BC3554EF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8195152"/>
        <c:axId val="258193072"/>
      </c:scatterChart>
      <c:valAx>
        <c:axId val="258195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3072"/>
        <c:crosses val="autoZero"/>
        <c:crossBetween val="midCat"/>
      </c:valAx>
      <c:valAx>
        <c:axId val="25819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195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'!$I$44</c:f>
              <c:strCache>
                <c:ptCount val="1"/>
                <c:pt idx="0">
                  <c:v>Precision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'!$I$45:$I$48</c:f>
              <c:numCache>
                <c:formatCode>General</c:formatCode>
                <c:ptCount val="4"/>
                <c:pt idx="0">
                  <c:v>0.35549999999999998</c:v>
                </c:pt>
                <c:pt idx="1">
                  <c:v>0.2782</c:v>
                </c:pt>
                <c:pt idx="2">
                  <c:v>0.2777</c:v>
                </c:pt>
                <c:pt idx="3">
                  <c:v>0.27310000000000001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58A-4B50-B9AD-D2FD8F7B60DA}"/>
            </c:ext>
          </c:extLst>
        </c:ser>
        <c:ser>
          <c:idx val="1"/>
          <c:order val="1"/>
          <c:tx>
            <c:strRef>
              <c:f>'udata '!$J$44</c:f>
              <c:strCache>
                <c:ptCount val="1"/>
                <c:pt idx="0">
                  <c:v>Recall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'!$J$45:$J$48</c:f>
              <c:numCache>
                <c:formatCode>General</c:formatCode>
                <c:ptCount val="4"/>
                <c:pt idx="0">
                  <c:v>0.2356</c:v>
                </c:pt>
                <c:pt idx="1">
                  <c:v>0.58360000000000001</c:v>
                </c:pt>
                <c:pt idx="2">
                  <c:v>0.59060000000000001</c:v>
                </c:pt>
                <c:pt idx="3">
                  <c:v>0.60509999999999997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8A-4B50-B9AD-D2FD8F7B60DA}"/>
            </c:ext>
          </c:extLst>
        </c:ser>
        <c:ser>
          <c:idx val="2"/>
          <c:order val="2"/>
          <c:tx>
            <c:strRef>
              <c:f>'udata '!$K$44</c:f>
              <c:strCache>
                <c:ptCount val="1"/>
                <c:pt idx="0">
                  <c:v>F1 Score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'!$K$45:$K$48</c:f>
              <c:numCache>
                <c:formatCode>General</c:formatCode>
                <c:ptCount val="4"/>
                <c:pt idx="0">
                  <c:v>0.28289999999999998</c:v>
                </c:pt>
                <c:pt idx="1">
                  <c:v>0.37640000000000001</c:v>
                </c:pt>
                <c:pt idx="2">
                  <c:v>0.3765</c:v>
                </c:pt>
                <c:pt idx="3">
                  <c:v>0.37630000000000002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8A-4B50-B9AD-D2FD8F7B60DA}"/>
            </c:ext>
          </c:extLst>
        </c:ser>
        <c:ser>
          <c:idx val="3"/>
          <c:order val="3"/>
          <c:tx>
            <c:strRef>
              <c:f>'udata '!$L$44</c:f>
              <c:strCache>
                <c:ptCount val="1"/>
                <c:pt idx="0">
                  <c:v>Accuracy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'udata '!$E$45:$E$48</c:f>
              <c:numCache>
                <c:formatCode>General</c:formatCode>
                <c:ptCount val="4"/>
                <c:pt idx="0">
                  <c:v>0.99150000000000005</c:v>
                </c:pt>
                <c:pt idx="1">
                  <c:v>14.994</c:v>
                </c:pt>
                <c:pt idx="2">
                  <c:v>17.329000000000001</c:v>
                </c:pt>
                <c:pt idx="3">
                  <c:v>23.637</c:v>
                </c:pt>
              </c:numCache>
            </c:numRef>
          </c:xVal>
          <c:yVal>
            <c:numRef>
              <c:f>'udata '!$L$45:$L$48</c:f>
              <c:numCache>
                <c:formatCode>General</c:formatCode>
                <c:ptCount val="4"/>
                <c:pt idx="0">
                  <c:v>0.78269999999999995</c:v>
                </c:pt>
                <c:pt idx="1">
                  <c:v>0.64970000000000006</c:v>
                </c:pt>
                <c:pt idx="2">
                  <c:v>0.64459999999999995</c:v>
                </c:pt>
                <c:pt idx="3">
                  <c:v>0.63639999999999997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58A-4B50-B9AD-D2FD8F7B6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327792"/>
        <c:axId val="436328208"/>
      </c:scatterChart>
      <c:valAx>
        <c:axId val="43632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8208"/>
        <c:crosses val="autoZero"/>
        <c:crossBetween val="midCat"/>
      </c:valAx>
      <c:valAx>
        <c:axId val="43632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6327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 MAE overall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'udata '!$F$1</c:f>
              <c:strCache>
                <c:ptCount val="1"/>
                <c:pt idx="0">
                  <c:v>Dep MAE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'udata '!$C$2:$C$8</c:f>
              <c:numCache>
                <c:formatCode>General</c:formatCode>
                <c:ptCount val="5"/>
                <c:pt idx="0">
                  <c:v>0.99150000000000005</c:v>
                </c:pt>
                <c:pt idx="1">
                  <c:v>9.5340000000000007</c:v>
                </c:pt>
                <c:pt idx="2">
                  <c:v>14.994199999999999</c:v>
                </c:pt>
                <c:pt idx="3">
                  <c:v>23.6371</c:v>
                </c:pt>
                <c:pt idx="4">
                  <c:v>30</c:v>
                </c:pt>
              </c:numCache>
            </c:numRef>
          </c:xVal>
          <c:yVal>
            <c:numRef>
              <c:f>'udata '!$F$2:$F$8</c:f>
              <c:numCache>
                <c:formatCode>General</c:formatCode>
                <c:ptCount val="5"/>
                <c:pt idx="0">
                  <c:v>3.9706999999999999</c:v>
                </c:pt>
                <c:pt idx="1">
                  <c:v>5.7098000000000004</c:v>
                </c:pt>
                <c:pt idx="2">
                  <c:v>5.2220000000000004</c:v>
                </c:pt>
                <c:pt idx="3">
                  <c:v>5.516</c:v>
                </c:pt>
                <c:pt idx="4">
                  <c:v>5.8971999999999998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5A-4D3C-902D-8EF169376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020448"/>
        <c:axId val="70017120"/>
      </c:scatterChart>
      <c:valAx>
        <c:axId val="70020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17120"/>
        <c:crosses val="autoZero"/>
        <c:crossBetween val="midCat"/>
      </c:valAx>
      <c:valAx>
        <c:axId val="7001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20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'cdata epsilon'!$I$1</c:f>
              <c:strCache>
                <c:ptCount val="1"/>
                <c:pt idx="0">
                  <c:v>avg_regression_mae_delayed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'cdata epsilon'!$B$2:$B$5</c:f>
              <c:numCache>
                <c:formatCode>General</c:formatCode>
                <c:ptCount val="4"/>
                <c:pt idx="0">
                  <c:v>1.9904279458</c:v>
                </c:pt>
                <c:pt idx="1">
                  <c:v>7.4322055659000004</c:v>
                </c:pt>
                <c:pt idx="2">
                  <c:v>14.9978621331</c:v>
                </c:pt>
                <c:pt idx="3">
                  <c:v>24.486600108299999</c:v>
                </c:pt>
              </c:numCache>
            </c:numRef>
          </c:xVal>
          <c:yVal>
            <c:numRef>
              <c:f>'cdata epsilon'!$I$2:$I$5</c:f>
              <c:numCache>
                <c:formatCode>General</c:formatCode>
                <c:ptCount val="4"/>
                <c:pt idx="0">
                  <c:v>8.7314998812999995</c:v>
                </c:pt>
                <c:pt idx="1">
                  <c:v>8.5887133985999995</c:v>
                </c:pt>
                <c:pt idx="2">
                  <c:v>8.3966606174000002</c:v>
                </c:pt>
                <c:pt idx="3">
                  <c:v>8.2496899811999995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AA-4A41-BCB6-F3D862E6A0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80400"/>
        <c:axId val="366770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'cdata epsilon'!$G$1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avg_regression_mae_overall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'cdata epsilon'!$G$2:$G$5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5.4265771429000003</c:v>
                      </c:pt>
                      <c:pt idx="1">
                        <c:v>5.5073898991999997</c:v>
                      </c:pt>
                      <c:pt idx="2">
                        <c:v>5.4305186717999998</c:v>
                      </c:pt>
                      <c:pt idx="3">
                        <c:v>5.6999555787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AA-4A41-BCB6-F3D862E6A05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epsilon'!$K$1</c15:sqref>
                        </c15:formulaRef>
                      </c:ext>
                    </c:extLst>
                    <c:strCache>
                      <c:ptCount val="1"/>
                      <c:pt idx="0">
                        <c:v>avg_regression_mae_nondelayed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epsilon'!$B$2:$B$5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1.9904279458</c:v>
                      </c:pt>
                      <c:pt idx="1">
                        <c:v>7.4322055659000004</c:v>
                      </c:pt>
                      <c:pt idx="2">
                        <c:v>14.9978621331</c:v>
                      </c:pt>
                      <c:pt idx="3">
                        <c:v>24.486600108299999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'cdata epsilon'!$K$2:$K$5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4.3715464736999996</c:v>
                      </c:pt>
                      <c:pt idx="1">
                        <c:v>4.5237388273999999</c:v>
                      </c:pt>
                      <c:pt idx="2">
                        <c:v>4.4836370139000001</c:v>
                      </c:pt>
                      <c:pt idx="3">
                        <c:v>4.8860037239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5AA-4A41-BCB6-F3D862E6A054}"/>
                  </c:ext>
                </c:extLst>
              </c15:ser>
            </c15:filteredScatterSeries>
          </c:ext>
        </c:extLst>
      </c:scatterChart>
      <c:valAx>
        <c:axId val="3668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77072"/>
        <c:crosses val="autoZero"/>
        <c:crossBetween val="midCat"/>
      </c:valAx>
      <c:valAx>
        <c:axId val="3667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8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343829</xdr:colOff>
      <xdr:row>0</xdr:row>
      <xdr:rowOff>93205</xdr:rowOff>
    </xdr:from>
    <xdr:to>
      <xdr:col>31</xdr:col>
      <xdr:colOff>576146</xdr:colOff>
      <xdr:row>5</xdr:row>
      <xdr:rowOff>92927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0F194-120C-4103-93EE-0834F799C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50737</xdr:colOff>
      <xdr:row>0</xdr:row>
      <xdr:rowOff>244953</xdr:rowOff>
    </xdr:from>
    <xdr:to>
      <xdr:col>39</xdr:col>
      <xdr:colOff>250902</xdr:colOff>
      <xdr:row>7</xdr:row>
      <xdr:rowOff>102218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8CA017-733A-44F9-9976-DC1DB742FC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166525</xdr:colOff>
      <xdr:row>6</xdr:row>
      <xdr:rowOff>182694</xdr:rowOff>
    </xdr:from>
    <xdr:to>
      <xdr:col>38</xdr:col>
      <xdr:colOff>475043</xdr:colOff>
      <xdr:row>20</xdr:row>
      <xdr:rowOff>144779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EDB13-0234-4A62-B32F-B26F0BD0C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72390</xdr:rowOff>
    </xdr:from>
    <xdr:to>
      <xdr:col>18</xdr:col>
      <xdr:colOff>38100</xdr:colOff>
      <xdr:row>6</xdr:row>
      <xdr:rowOff>689610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9C95A2-D2E3-4DB6-BD60-B2F9E671B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41</xdr:row>
      <xdr:rowOff>87630</xdr:rowOff>
    </xdr:from>
    <xdr:to>
      <xdr:col>23</xdr:col>
      <xdr:colOff>342900</xdr:colOff>
      <xdr:row>46</xdr:row>
      <xdr:rowOff>506730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11DD4D-E4B5-4A3E-830D-13563F66AE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525780</xdr:colOff>
      <xdr:row>12</xdr:row>
      <xdr:rowOff>64770</xdr:rowOff>
    </xdr:from>
    <xdr:to>
      <xdr:col>18</xdr:col>
      <xdr:colOff>220980</xdr:colOff>
      <xdr:row>27</xdr:row>
      <xdr:rowOff>64770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B57D66-DB4C-4F41-B0FE-68444616A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525780</xdr:colOff>
      <xdr:row>5</xdr:row>
      <xdr:rowOff>118110</xdr:rowOff>
    </xdr:from>
    <xdr:to>
      <xdr:col>16</xdr:col>
      <xdr:colOff>426720</xdr:colOff>
      <xdr:row>20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41144D-47A3-4CC7-9D5D-845A1FA37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66C11-497F-4BAD-A297-C140DE8F8B95}">
  <dimension ref="A1:W18"/>
  <sheetViews>
    <sheetView topLeftCell="R1" zoomScale="82" zoomScaleNormal="82" workbookViewId="0">
      <selection activeCell="AD12" sqref="AD12"/>
    </sheetView>
  </sheetViews>
  <sheetFormatPr defaultRowHeight="14.4" x14ac:dyDescent="0.3"/>
  <cols>
    <col min="1" max="1" width="40" customWidth="1"/>
    <col min="2" max="2" width="11.109375" style="4" customWidth="1"/>
    <col min="5" max="8" width="8.88671875" customWidth="1"/>
    <col min="10" max="10" width="13.88671875" customWidth="1"/>
    <col min="12" max="17" width="0" hidden="1" customWidth="1"/>
    <col min="19" max="23" width="0" hidden="1" customWidth="1"/>
  </cols>
  <sheetData>
    <row r="1" spans="1:23" ht="69.599999999999994" thickBot="1" x14ac:dyDescent="0.35">
      <c r="A1" s="1" t="s">
        <v>21</v>
      </c>
      <c r="B1" s="1" t="s">
        <v>11</v>
      </c>
      <c r="C1" s="1" t="s">
        <v>3</v>
      </c>
      <c r="D1" s="1" t="s">
        <v>2</v>
      </c>
      <c r="E1" s="1" t="s">
        <v>4</v>
      </c>
      <c r="F1" s="1" t="s">
        <v>81</v>
      </c>
      <c r="G1" s="1" t="s">
        <v>7</v>
      </c>
      <c r="H1" s="1" t="s">
        <v>5</v>
      </c>
      <c r="I1" s="1" t="s">
        <v>6</v>
      </c>
      <c r="J1" s="1" t="s">
        <v>8</v>
      </c>
      <c r="K1" s="1" t="s">
        <v>12</v>
      </c>
      <c r="L1" s="1" t="s">
        <v>13</v>
      </c>
      <c r="M1" s="1" t="s">
        <v>14</v>
      </c>
      <c r="N1" s="1" t="s">
        <v>20</v>
      </c>
      <c r="O1" s="1" t="s">
        <v>19</v>
      </c>
      <c r="P1" s="1" t="s">
        <v>16</v>
      </c>
      <c r="Q1" s="1" t="s">
        <v>15</v>
      </c>
      <c r="R1" s="1" t="s">
        <v>17</v>
      </c>
      <c r="S1" s="1" t="s">
        <v>18</v>
      </c>
      <c r="T1" s="1" t="s">
        <v>0</v>
      </c>
      <c r="U1" s="1" t="s">
        <v>1</v>
      </c>
      <c r="V1" s="1" t="s">
        <v>9</v>
      </c>
      <c r="W1" s="1" t="s">
        <v>10</v>
      </c>
    </row>
    <row r="2" spans="1:23" ht="33.6" customHeight="1" thickBot="1" x14ac:dyDescent="0.35">
      <c r="A2" s="2" t="s">
        <v>22</v>
      </c>
      <c r="B2" s="3">
        <v>23.976868146043799</v>
      </c>
      <c r="C2" s="2">
        <v>0.70924004384359796</v>
      </c>
      <c r="D2" s="2">
        <v>0.55353798523042896</v>
      </c>
      <c r="E2" s="2">
        <v>8.2672139664071604</v>
      </c>
      <c r="F2" s="2">
        <v>4.9284034311393201</v>
      </c>
      <c r="G2" s="2">
        <v>5.7363358065724803</v>
      </c>
      <c r="H2" s="2">
        <v>10.682204212591399</v>
      </c>
      <c r="I2" s="2">
        <v>6.4610741300721699</v>
      </c>
      <c r="J2" s="2">
        <v>7.6978096438446304</v>
      </c>
      <c r="K2" s="2">
        <v>4963.8773679733204</v>
      </c>
      <c r="L2" s="2">
        <v>1394.84722948074</v>
      </c>
      <c r="M2" s="2">
        <v>1845.10709166526</v>
      </c>
      <c r="N2" s="2">
        <v>25</v>
      </c>
      <c r="O2" s="2">
        <v>5474</v>
      </c>
      <c r="P2" s="2">
        <v>136.73052815198801</v>
      </c>
      <c r="Q2" s="2">
        <v>8203.8316891193299</v>
      </c>
      <c r="R2" s="2">
        <v>19207</v>
      </c>
      <c r="S2" s="2">
        <v>2727</v>
      </c>
      <c r="T2" s="2">
        <v>0.44013838501903801</v>
      </c>
      <c r="U2" s="2">
        <v>0.74653375299372504</v>
      </c>
      <c r="V2" s="2">
        <v>132461</v>
      </c>
      <c r="W2" s="2">
        <v>414939</v>
      </c>
    </row>
    <row r="3" spans="1:23" ht="28.8" customHeight="1" thickBot="1" x14ac:dyDescent="0.35">
      <c r="A3" s="2" t="s">
        <v>23</v>
      </c>
      <c r="B3" s="3">
        <v>14.9978621331353</v>
      </c>
      <c r="C3" s="2">
        <v>0.73337230544388898</v>
      </c>
      <c r="D3" s="2">
        <v>0.55983800164434405</v>
      </c>
      <c r="E3" s="2">
        <v>8.5147397498501007</v>
      </c>
      <c r="F3" s="2">
        <v>4.24443066860026</v>
      </c>
      <c r="G3" s="2">
        <v>5.27776901571651</v>
      </c>
      <c r="H3" s="2">
        <v>10.9943399425701</v>
      </c>
      <c r="I3" s="2">
        <v>5.9242952205638799</v>
      </c>
      <c r="J3" s="2">
        <v>7.4735581566905296</v>
      </c>
      <c r="K3" s="2">
        <v>6583.5351414680399</v>
      </c>
      <c r="L3" s="2">
        <v>1269.01271510124</v>
      </c>
      <c r="M3" s="2">
        <v>1498.7497563362101</v>
      </c>
      <c r="N3" s="2">
        <v>15</v>
      </c>
      <c r="O3" s="2">
        <v>5474</v>
      </c>
      <c r="P3" s="2">
        <v>155.85496021509101</v>
      </c>
      <c r="Q3" s="2">
        <v>9351.2976129055005</v>
      </c>
      <c r="R3" s="2">
        <v>19207</v>
      </c>
      <c r="S3" s="2">
        <v>2727</v>
      </c>
      <c r="T3" s="2">
        <v>0.46596531771812699</v>
      </c>
      <c r="U3" s="2">
        <v>0.70379783362013204</v>
      </c>
      <c r="V3" s="2">
        <v>132461</v>
      </c>
      <c r="W3" s="2">
        <v>414939</v>
      </c>
    </row>
    <row r="4" spans="1:23" ht="42" customHeight="1" thickBot="1" x14ac:dyDescent="0.35">
      <c r="A4" s="2" t="s">
        <v>24</v>
      </c>
      <c r="B4" s="3">
        <v>7.3646261980491197</v>
      </c>
      <c r="C4" s="2">
        <v>0.72259408111067802</v>
      </c>
      <c r="D4" s="2">
        <v>0.54226424862108402</v>
      </c>
      <c r="E4" s="2">
        <v>8.7051407717552696</v>
      </c>
      <c r="F4" s="2">
        <v>4.3567055869653597</v>
      </c>
      <c r="G4" s="2">
        <v>5.40894905246126</v>
      </c>
      <c r="H4" s="2">
        <v>11.203591800959</v>
      </c>
      <c r="I4" s="2">
        <v>6.0297271615041899</v>
      </c>
      <c r="J4" s="2">
        <v>7.6114010142308297</v>
      </c>
      <c r="K4" s="2">
        <v>5059.42527604103</v>
      </c>
      <c r="L4" s="2">
        <v>1422.63944673538</v>
      </c>
      <c r="M4" s="2">
        <v>1966.33158445358</v>
      </c>
      <c r="N4" s="2">
        <v>7.5</v>
      </c>
      <c r="O4" s="2">
        <v>5474</v>
      </c>
      <c r="P4" s="2">
        <v>140.806605120499</v>
      </c>
      <c r="Q4" s="2">
        <v>8448.3963072299903</v>
      </c>
      <c r="R4" s="2">
        <v>19207</v>
      </c>
      <c r="S4" s="2">
        <v>2727</v>
      </c>
      <c r="T4" s="2">
        <v>0.45118419132707899</v>
      </c>
      <c r="U4" s="2">
        <v>0.68181311317981697</v>
      </c>
      <c r="V4" s="2">
        <v>132461</v>
      </c>
      <c r="W4" s="2">
        <v>414939</v>
      </c>
    </row>
    <row r="5" spans="1:23" ht="37.799999999999997" customHeight="1" thickBot="1" x14ac:dyDescent="0.35">
      <c r="A5" s="2" t="s">
        <v>25</v>
      </c>
      <c r="B5" s="3">
        <v>1.9904279458387499</v>
      </c>
      <c r="C5" s="2">
        <v>0.72177201315306005</v>
      </c>
      <c r="D5" s="2">
        <v>0.54272390851380203</v>
      </c>
      <c r="E5" s="2">
        <v>8.8102144397220403</v>
      </c>
      <c r="F5" s="2">
        <v>4.2813004793063696</v>
      </c>
      <c r="G5" s="2">
        <v>5.3772165774258802</v>
      </c>
      <c r="H5" s="2">
        <v>11.359580368952599</v>
      </c>
      <c r="I5" s="2">
        <v>5.7524061854957198</v>
      </c>
      <c r="J5" s="2">
        <v>7.5038878153282198</v>
      </c>
      <c r="K5" s="2">
        <v>6572.8929276466297</v>
      </c>
      <c r="L5" s="2">
        <v>1253.7568855285599</v>
      </c>
      <c r="M5" s="2">
        <v>1516.5282146930599</v>
      </c>
      <c r="N5" s="2">
        <v>2</v>
      </c>
      <c r="O5" s="2">
        <v>5474</v>
      </c>
      <c r="P5" s="2">
        <v>155.71963379780399</v>
      </c>
      <c r="Q5" s="2">
        <v>9343.1780278682709</v>
      </c>
      <c r="R5" s="2">
        <v>19207</v>
      </c>
      <c r="S5" s="2">
        <v>2727</v>
      </c>
      <c r="T5" s="2">
        <v>0.45036103852346498</v>
      </c>
      <c r="U5" s="2">
        <v>0.68510746898529196</v>
      </c>
      <c r="V5" s="2">
        <v>132461</v>
      </c>
      <c r="W5" s="2">
        <v>414939</v>
      </c>
    </row>
    <row r="8" spans="1:23" ht="15" thickBot="1" x14ac:dyDescent="0.35"/>
    <row r="9" spans="1:23" ht="43.8" thickBot="1" x14ac:dyDescent="0.35">
      <c r="A9" s="1" t="s">
        <v>74</v>
      </c>
      <c r="B9" s="5" t="s">
        <v>73</v>
      </c>
      <c r="C9" s="5" t="s">
        <v>75</v>
      </c>
      <c r="D9" s="5" t="s">
        <v>76</v>
      </c>
      <c r="E9" s="5" t="s">
        <v>77</v>
      </c>
      <c r="F9" s="5" t="s">
        <v>78</v>
      </c>
      <c r="G9" s="5" t="s">
        <v>79</v>
      </c>
      <c r="H9" s="5" t="s">
        <v>80</v>
      </c>
      <c r="I9" s="5" t="s">
        <v>65</v>
      </c>
      <c r="L9" s="5" t="s">
        <v>66</v>
      </c>
      <c r="M9" s="5" t="s">
        <v>67</v>
      </c>
      <c r="N9" s="5" t="s">
        <v>68</v>
      </c>
    </row>
    <row r="10" spans="1:23" x14ac:dyDescent="0.3">
      <c r="A10">
        <v>1.99</v>
      </c>
      <c r="B10">
        <v>8.5336999999999996</v>
      </c>
      <c r="C10">
        <v>8.2574000000000005</v>
      </c>
      <c r="D10">
        <v>5.2592999999999996</v>
      </c>
      <c r="E10">
        <v>4.8006000000000002</v>
      </c>
      <c r="F10">
        <v>5.8423999999999996</v>
      </c>
      <c r="G10">
        <v>6.1235999999999997</v>
      </c>
      <c r="H10">
        <v>5.5610999999999997</v>
      </c>
      <c r="I10">
        <v>0.43049999999999999</v>
      </c>
      <c r="L10">
        <v>0.72540000000000004</v>
      </c>
      <c r="M10">
        <v>0.53890000000000005</v>
      </c>
      <c r="N10">
        <v>0.7016</v>
      </c>
    </row>
    <row r="11" spans="1:23" x14ac:dyDescent="0.3">
      <c r="A11">
        <v>14.510999999999999</v>
      </c>
      <c r="B11">
        <v>8.5395000000000003</v>
      </c>
      <c r="C11">
        <v>8.4219000000000008</v>
      </c>
      <c r="D11">
        <v>5.1044</v>
      </c>
      <c r="E11">
        <v>4.4683000000000002</v>
      </c>
      <c r="F11">
        <v>5.6745999999999999</v>
      </c>
      <c r="G11">
        <v>6.0110999999999999</v>
      </c>
      <c r="H11">
        <v>5.3380999999999998</v>
      </c>
      <c r="I11">
        <v>0.44130000000000003</v>
      </c>
      <c r="L11">
        <v>0.70269999999999999</v>
      </c>
      <c r="M11">
        <v>0.54210000000000003</v>
      </c>
      <c r="N11">
        <v>0.7127</v>
      </c>
    </row>
    <row r="12" spans="1:23" x14ac:dyDescent="0.3">
      <c r="A12">
        <v>24.995999999999999</v>
      </c>
      <c r="B12">
        <v>8.2964000000000002</v>
      </c>
      <c r="C12">
        <v>8.5945</v>
      </c>
      <c r="D12">
        <v>5.5506000000000002</v>
      </c>
      <c r="E12">
        <v>4.2797000000000001</v>
      </c>
      <c r="F12">
        <v>5.7522000000000002</v>
      </c>
      <c r="G12">
        <v>6.2754000000000003</v>
      </c>
      <c r="H12">
        <v>5.2289000000000003</v>
      </c>
      <c r="I12">
        <v>0.44180000000000003</v>
      </c>
      <c r="L12">
        <v>0.70420000000000005</v>
      </c>
      <c r="M12">
        <v>0.54269999999999996</v>
      </c>
      <c r="N12">
        <v>0.71319999999999995</v>
      </c>
    </row>
    <row r="14" spans="1:23" ht="15" thickBot="1" x14ac:dyDescent="0.35"/>
    <row r="15" spans="1:23" ht="55.8" thickBot="1" x14ac:dyDescent="0.35">
      <c r="A15" s="1" t="s">
        <v>85</v>
      </c>
      <c r="B15" s="1" t="s">
        <v>86</v>
      </c>
      <c r="C15" s="1" t="s">
        <v>44</v>
      </c>
      <c r="D15" s="1" t="s">
        <v>45</v>
      </c>
      <c r="E15" s="1" t="s">
        <v>46</v>
      </c>
      <c r="F15" s="1" t="s">
        <v>47</v>
      </c>
      <c r="G15" s="1" t="s">
        <v>48</v>
      </c>
      <c r="H15" s="1" t="s">
        <v>49</v>
      </c>
      <c r="I15" s="1" t="s">
        <v>50</v>
      </c>
      <c r="J15" s="1" t="s">
        <v>51</v>
      </c>
    </row>
    <row r="16" spans="1:23" ht="15" thickBot="1" x14ac:dyDescent="0.35">
      <c r="A16" s="1"/>
      <c r="B16" s="1">
        <v>5</v>
      </c>
      <c r="C16" s="3">
        <v>14.9978621331353</v>
      </c>
      <c r="D16" s="2">
        <v>5.27776901571651</v>
      </c>
      <c r="E16" s="1"/>
      <c r="F16" s="1"/>
      <c r="G16" s="2">
        <v>8.5147397498501007</v>
      </c>
      <c r="H16" s="2">
        <v>8.5147397498501007</v>
      </c>
      <c r="I16" s="2">
        <v>4.24443066860026</v>
      </c>
      <c r="J16" s="2">
        <v>4.24443066860026</v>
      </c>
    </row>
    <row r="17" spans="1:10" ht="15" thickBot="1" x14ac:dyDescent="0.35">
      <c r="A17" s="2" t="s">
        <v>83</v>
      </c>
      <c r="B17" s="2">
        <v>7</v>
      </c>
      <c r="C17" s="2">
        <v>14.510999999999999</v>
      </c>
      <c r="D17" s="2">
        <v>5.8483000000000001</v>
      </c>
      <c r="E17" s="2">
        <v>6.1131000000000002</v>
      </c>
      <c r="F17" s="2">
        <v>5.5835999999999997</v>
      </c>
      <c r="G17" s="2">
        <v>8.9765999999999995</v>
      </c>
      <c r="H17" s="2">
        <v>8.5744000000000007</v>
      </c>
      <c r="I17" s="2">
        <v>5.2497999999999996</v>
      </c>
      <c r="J17" s="2">
        <v>4.8723999999999998</v>
      </c>
    </row>
    <row r="18" spans="1:10" ht="15" thickBot="1" x14ac:dyDescent="0.35">
      <c r="A18" s="2" t="s">
        <v>84</v>
      </c>
      <c r="B18" s="2">
        <v>10</v>
      </c>
      <c r="C18" s="2">
        <v>14.997999999999999</v>
      </c>
      <c r="D18" s="2">
        <v>5.5797999999999996</v>
      </c>
      <c r="E18" s="2">
        <v>6.2003000000000004</v>
      </c>
      <c r="F18" s="2">
        <v>4.9592999999999998</v>
      </c>
      <c r="G18" s="2">
        <v>9.8507999999999996</v>
      </c>
      <c r="H18" s="2">
        <v>10.892099999999999</v>
      </c>
      <c r="I18" s="2">
        <v>5.3421000000000003</v>
      </c>
      <c r="J18" s="2">
        <v>3.8397000000000001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ABCC-FE12-4367-8399-1B2C82131DA2}">
  <dimension ref="A1:P49"/>
  <sheetViews>
    <sheetView tabSelected="1" topLeftCell="H1" workbookViewId="0">
      <selection activeCell="O8" sqref="O8"/>
    </sheetView>
  </sheetViews>
  <sheetFormatPr defaultRowHeight="14.4" x14ac:dyDescent="0.3"/>
  <sheetData>
    <row r="1" spans="1:10" ht="55.8" thickBot="1" x14ac:dyDescent="0.3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51</v>
      </c>
    </row>
    <row r="2" spans="1:10" ht="55.8" thickBot="1" x14ac:dyDescent="0.35">
      <c r="A2" s="2" t="s">
        <v>54</v>
      </c>
      <c r="B2" s="2" t="s">
        <v>55</v>
      </c>
      <c r="C2" s="2">
        <v>0.99150000000000005</v>
      </c>
      <c r="D2" s="2">
        <v>3.7052999999999998</v>
      </c>
      <c r="E2" s="2">
        <v>3.44</v>
      </c>
      <c r="F2" s="2">
        <v>3.9706999999999999</v>
      </c>
      <c r="G2" s="2">
        <v>10.796200000000001</v>
      </c>
      <c r="H2" s="2">
        <v>9.8651999999999997</v>
      </c>
      <c r="I2" s="2">
        <v>2.1448999999999998</v>
      </c>
      <c r="J2" s="2">
        <v>2.3372999999999999</v>
      </c>
    </row>
    <row r="3" spans="1:10" ht="15" hidden="1" thickBot="1" x14ac:dyDescent="0.35">
      <c r="B3" s="2" t="s">
        <v>55</v>
      </c>
      <c r="C3" s="2">
        <v>4.9960000000000004</v>
      </c>
      <c r="D3" s="2">
        <v>5.4405000000000001</v>
      </c>
      <c r="E3" s="2">
        <v>5.0808999999999997</v>
      </c>
      <c r="F3" s="2">
        <v>5.8002000000000002</v>
      </c>
      <c r="G3" s="2">
        <v>8.5639000000000003</v>
      </c>
      <c r="H3" s="2">
        <v>7.3129999999999997</v>
      </c>
      <c r="I3" s="2">
        <v>4.4676</v>
      </c>
      <c r="J3" s="2">
        <v>5.3810000000000002</v>
      </c>
    </row>
    <row r="4" spans="1:10" ht="55.8" thickBot="1" x14ac:dyDescent="0.35">
      <c r="A4" s="2" t="s">
        <v>82</v>
      </c>
      <c r="B4" s="2" t="s">
        <v>55</v>
      </c>
      <c r="C4" s="2">
        <v>9.5340000000000007</v>
      </c>
      <c r="D4" s="2">
        <v>5.0491000000000001</v>
      </c>
      <c r="E4" s="2">
        <v>4.3883999999999999</v>
      </c>
      <c r="F4" s="2">
        <v>5.7098000000000004</v>
      </c>
      <c r="G4" s="2">
        <v>9.3282000000000007</v>
      </c>
      <c r="H4" s="2">
        <v>7.4292999999999996</v>
      </c>
      <c r="I4" s="2">
        <v>3.5186999999999999</v>
      </c>
      <c r="J4" s="2">
        <v>5.2333999999999996</v>
      </c>
    </row>
    <row r="5" spans="1:10" ht="55.8" thickBot="1" x14ac:dyDescent="0.35">
      <c r="A5" s="2" t="s">
        <v>56</v>
      </c>
      <c r="B5" s="2" t="s">
        <v>55</v>
      </c>
      <c r="C5" s="2">
        <v>14.994199999999999</v>
      </c>
      <c r="D5" s="2">
        <v>4.931</v>
      </c>
      <c r="E5" s="2">
        <v>4.6398999999999999</v>
      </c>
      <c r="F5" s="2">
        <v>5.2220000000000004</v>
      </c>
      <c r="G5" s="2">
        <v>8.8496000000000006</v>
      </c>
      <c r="H5" s="2">
        <v>7.8728999999999996</v>
      </c>
      <c r="I5" s="2">
        <v>3.8988</v>
      </c>
      <c r="J5" s="2">
        <v>4.4874000000000001</v>
      </c>
    </row>
    <row r="6" spans="1:10" ht="55.8" hidden="1" thickBot="1" x14ac:dyDescent="0.35">
      <c r="A6" s="2" t="s">
        <v>57</v>
      </c>
      <c r="B6" s="2" t="s">
        <v>55</v>
      </c>
      <c r="C6" s="2">
        <v>17.3291</v>
      </c>
      <c r="D6" s="2">
        <v>5.19</v>
      </c>
      <c r="E6" s="2">
        <v>4.6723999999999997</v>
      </c>
      <c r="F6" s="2">
        <v>5.7076000000000002</v>
      </c>
      <c r="G6" s="2">
        <v>8.9639000000000006</v>
      </c>
      <c r="H6" s="2">
        <v>7.4370000000000003</v>
      </c>
      <c r="I6" s="2">
        <v>3.9167999999999998</v>
      </c>
      <c r="J6" s="2">
        <v>5.2282999999999999</v>
      </c>
    </row>
    <row r="7" spans="1:10" ht="55.8" thickBot="1" x14ac:dyDescent="0.35">
      <c r="A7" s="2" t="s">
        <v>58</v>
      </c>
      <c r="B7" s="2" t="s">
        <v>55</v>
      </c>
      <c r="C7" s="2">
        <v>23.6371</v>
      </c>
      <c r="D7" s="2">
        <v>5.2175000000000002</v>
      </c>
      <c r="E7" s="2">
        <v>4.9189999999999996</v>
      </c>
      <c r="F7" s="2">
        <v>5.516</v>
      </c>
      <c r="G7" s="2">
        <v>8.7787000000000006</v>
      </c>
      <c r="H7" s="2">
        <v>7.5814000000000004</v>
      </c>
      <c r="I7" s="2">
        <v>4.2393999999999998</v>
      </c>
      <c r="J7" s="2">
        <v>4.9436999999999998</v>
      </c>
    </row>
    <row r="8" spans="1:10" ht="55.8" thickBot="1" x14ac:dyDescent="0.35">
      <c r="A8" s="2" t="s">
        <v>52</v>
      </c>
      <c r="B8" s="2" t="s">
        <v>53</v>
      </c>
      <c r="C8" s="2">
        <v>30</v>
      </c>
      <c r="D8" s="2">
        <v>6.0740999999999996</v>
      </c>
      <c r="E8" s="2">
        <v>6.2510000000000003</v>
      </c>
      <c r="F8" s="2">
        <v>5.8971999999999998</v>
      </c>
      <c r="G8" s="2">
        <v>7.6802999999999999</v>
      </c>
      <c r="H8" s="2">
        <v>7.165</v>
      </c>
      <c r="I8" s="2">
        <v>5.9993999999999996</v>
      </c>
      <c r="J8" s="2">
        <v>5.5458999999999996</v>
      </c>
    </row>
    <row r="43" spans="1:16" ht="15" thickBot="1" x14ac:dyDescent="0.35"/>
    <row r="44" spans="1:16" ht="42" thickBot="1" x14ac:dyDescent="0.35">
      <c r="A44" s="1" t="s">
        <v>42</v>
      </c>
      <c r="B44" s="1" t="s">
        <v>59</v>
      </c>
      <c r="C44" s="1" t="s">
        <v>60</v>
      </c>
      <c r="D44" s="1" t="s">
        <v>61</v>
      </c>
      <c r="E44" s="1" t="s">
        <v>62</v>
      </c>
      <c r="F44" s="1" t="s">
        <v>45</v>
      </c>
      <c r="G44" s="1" t="s">
        <v>63</v>
      </c>
      <c r="H44" s="1" t="s">
        <v>64</v>
      </c>
      <c r="I44" s="1" t="s">
        <v>65</v>
      </c>
      <c r="J44" s="1" t="s">
        <v>66</v>
      </c>
      <c r="K44" s="1" t="s">
        <v>67</v>
      </c>
      <c r="L44" s="1" t="s">
        <v>68</v>
      </c>
      <c r="M44" s="1" t="s">
        <v>69</v>
      </c>
      <c r="N44" s="1" t="s">
        <v>70</v>
      </c>
      <c r="O44" s="1" t="s">
        <v>71</v>
      </c>
      <c r="P44" s="1" t="s">
        <v>72</v>
      </c>
    </row>
    <row r="45" spans="1:16" ht="55.8" thickBot="1" x14ac:dyDescent="0.35">
      <c r="A45" s="2" t="s">
        <v>54</v>
      </c>
      <c r="B45" s="2">
        <v>0.70799999999999996</v>
      </c>
      <c r="C45" s="2" t="b">
        <v>1</v>
      </c>
      <c r="D45" s="2">
        <v>1</v>
      </c>
      <c r="E45" s="2">
        <v>0.99150000000000005</v>
      </c>
      <c r="F45" s="2">
        <v>3.7052999999999998</v>
      </c>
      <c r="G45" s="2">
        <v>3.44</v>
      </c>
      <c r="H45" s="2">
        <v>3.9706999999999999</v>
      </c>
      <c r="I45" s="2">
        <v>0.35549999999999998</v>
      </c>
      <c r="J45" s="2">
        <v>0.2356</v>
      </c>
      <c r="K45" s="2">
        <v>0.28289999999999998</v>
      </c>
      <c r="L45" s="2">
        <v>0.78269999999999995</v>
      </c>
      <c r="M45" s="2">
        <v>10.796200000000001</v>
      </c>
      <c r="N45" s="2">
        <v>9.8651999999999997</v>
      </c>
      <c r="O45" s="2">
        <v>2.1448999999999998</v>
      </c>
      <c r="P45" s="2">
        <v>2.3372999999999999</v>
      </c>
    </row>
    <row r="46" spans="1:16" ht="55.8" thickBot="1" x14ac:dyDescent="0.35">
      <c r="A46" s="2" t="s">
        <v>56</v>
      </c>
      <c r="B46" s="2">
        <v>0.34300000000000003</v>
      </c>
      <c r="C46" s="2" t="b">
        <v>1</v>
      </c>
      <c r="D46" s="2">
        <v>15</v>
      </c>
      <c r="E46" s="2">
        <v>14.994</v>
      </c>
      <c r="F46" s="2">
        <v>4.931</v>
      </c>
      <c r="G46" s="2">
        <v>4.6398999999999999</v>
      </c>
      <c r="H46" s="2">
        <v>5.2220000000000004</v>
      </c>
      <c r="I46" s="2">
        <v>0.2782</v>
      </c>
      <c r="J46" s="2">
        <v>0.58360000000000001</v>
      </c>
      <c r="K46" s="2">
        <v>0.37640000000000001</v>
      </c>
      <c r="L46" s="2">
        <v>0.64970000000000006</v>
      </c>
      <c r="M46" s="2">
        <v>8.8496000000000006</v>
      </c>
      <c r="N46" s="2">
        <v>7.8728999999999996</v>
      </c>
      <c r="O46" s="2">
        <v>3.8988</v>
      </c>
      <c r="P46" s="2">
        <v>4.4874000000000001</v>
      </c>
    </row>
    <row r="47" spans="1:16" ht="55.8" thickBot="1" x14ac:dyDescent="0.35">
      <c r="A47" s="2" t="s">
        <v>57</v>
      </c>
      <c r="B47" s="2">
        <v>0.33200000000000002</v>
      </c>
      <c r="C47" s="2" t="b">
        <v>1</v>
      </c>
      <c r="D47" s="2">
        <v>18</v>
      </c>
      <c r="E47" s="2">
        <v>17.329000000000001</v>
      </c>
      <c r="F47" s="2">
        <v>5.19</v>
      </c>
      <c r="G47" s="2">
        <v>4.6723999999999997</v>
      </c>
      <c r="H47" s="2">
        <v>5.7076000000000002</v>
      </c>
      <c r="I47" s="2">
        <v>0.2777</v>
      </c>
      <c r="J47" s="2">
        <v>0.59060000000000001</v>
      </c>
      <c r="K47" s="2">
        <v>0.3765</v>
      </c>
      <c r="L47" s="2">
        <v>0.64459999999999995</v>
      </c>
      <c r="M47" s="2">
        <v>8.9639000000000006</v>
      </c>
      <c r="N47" s="2">
        <v>7.4370000000000003</v>
      </c>
      <c r="O47" s="2">
        <v>3.9167999999999998</v>
      </c>
      <c r="P47" s="2">
        <v>5.2282999999999999</v>
      </c>
    </row>
    <row r="48" spans="1:16" ht="55.8" thickBot="1" x14ac:dyDescent="0.35">
      <c r="A48" s="2" t="s">
        <v>58</v>
      </c>
      <c r="B48" s="2">
        <v>0.312</v>
      </c>
      <c r="C48" s="2" t="b">
        <v>1</v>
      </c>
      <c r="D48" s="2">
        <v>25</v>
      </c>
      <c r="E48" s="2">
        <v>23.637</v>
      </c>
      <c r="F48" s="2">
        <v>5.2175000000000002</v>
      </c>
      <c r="G48" s="2">
        <v>4.9189999999999996</v>
      </c>
      <c r="H48" s="2">
        <v>5.516</v>
      </c>
      <c r="I48" s="2">
        <v>0.27310000000000001</v>
      </c>
      <c r="J48" s="2">
        <v>0.60509999999999997</v>
      </c>
      <c r="K48" s="2">
        <v>0.37630000000000002</v>
      </c>
      <c r="L48" s="2">
        <v>0.63639999999999997</v>
      </c>
      <c r="M48" s="2">
        <v>8.7787000000000006</v>
      </c>
      <c r="N48" s="2">
        <v>7.5814000000000004</v>
      </c>
      <c r="O48" s="2">
        <v>4.2393999999999998</v>
      </c>
      <c r="P48" s="2">
        <v>4.9436999999999998</v>
      </c>
    </row>
    <row r="49" spans="1:16" ht="55.8" thickBot="1" x14ac:dyDescent="0.35">
      <c r="A49" s="2" t="s">
        <v>52</v>
      </c>
      <c r="B49" s="2">
        <v>0</v>
      </c>
      <c r="C49" s="2" t="b">
        <v>0</v>
      </c>
      <c r="D49" s="2">
        <v>18</v>
      </c>
      <c r="E49" s="2">
        <v>0</v>
      </c>
      <c r="F49" s="2">
        <v>6.0740999999999996</v>
      </c>
      <c r="G49" s="2">
        <v>6.2510000000000003</v>
      </c>
      <c r="H49" s="2">
        <v>5.8971999999999998</v>
      </c>
      <c r="I49" s="2">
        <v>0.2797</v>
      </c>
      <c r="J49" s="2">
        <v>0.60840000000000005</v>
      </c>
      <c r="K49" s="2">
        <v>0.3821</v>
      </c>
      <c r="L49" s="2">
        <v>0.64400000000000002</v>
      </c>
      <c r="M49" s="2">
        <v>7.6802999999999999</v>
      </c>
      <c r="N49" s="2">
        <v>7.165</v>
      </c>
      <c r="O49" s="2">
        <v>5.9993999999999996</v>
      </c>
      <c r="P49" s="2">
        <v>5.5458999999999996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1864-1456-4BBD-958C-1261E9ACD490}">
  <dimension ref="A1:P5"/>
  <sheetViews>
    <sheetView workbookViewId="0">
      <selection activeCell="Q12" sqref="Q12"/>
    </sheetView>
  </sheetViews>
  <sheetFormatPr defaultRowHeight="14.4" x14ac:dyDescent="0.3"/>
  <sheetData>
    <row r="1" spans="1:16" ht="69.599999999999994" thickBot="1" x14ac:dyDescent="0.35">
      <c r="A1" s="1" t="s">
        <v>20</v>
      </c>
      <c r="B1" s="1" t="s">
        <v>32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</row>
    <row r="2" spans="1:16" ht="15" thickBot="1" x14ac:dyDescent="0.35">
      <c r="A2" s="2">
        <v>2</v>
      </c>
      <c r="B2" s="2">
        <v>1.9904279458</v>
      </c>
      <c r="C2" s="2">
        <v>0.72393496530000001</v>
      </c>
      <c r="D2" s="2">
        <v>0.54019720670000004</v>
      </c>
      <c r="E2" s="2">
        <v>0.45233692619999999</v>
      </c>
      <c r="F2" s="2">
        <v>0.67184033649999997</v>
      </c>
      <c r="G2" s="2">
        <v>5.4265771429000003</v>
      </c>
      <c r="H2" s="2">
        <v>7.5415992331000004</v>
      </c>
      <c r="I2" s="2">
        <v>8.7314998812999995</v>
      </c>
      <c r="J2" s="2">
        <v>11.269938656500001</v>
      </c>
      <c r="K2" s="2">
        <v>4.3715464736999996</v>
      </c>
      <c r="L2" s="2">
        <v>5.8712395420999997</v>
      </c>
      <c r="M2" s="2">
        <v>6927.0435783863004</v>
      </c>
      <c r="N2" s="2">
        <v>1620.3956986666001</v>
      </c>
      <c r="O2" s="2">
        <v>1875.6187603474</v>
      </c>
      <c r="P2" s="2">
        <v>173.71763395670001</v>
      </c>
    </row>
    <row r="3" spans="1:16" ht="15" thickBot="1" x14ac:dyDescent="0.35">
      <c r="A3" s="2">
        <v>7.5</v>
      </c>
      <c r="B3" s="2">
        <v>7.4322055659000004</v>
      </c>
      <c r="C3" s="2">
        <v>0.72112623310000001</v>
      </c>
      <c r="D3" s="2">
        <v>0.54565918059999996</v>
      </c>
      <c r="E3" s="2">
        <v>0.45019371930000002</v>
      </c>
      <c r="F3" s="2">
        <v>0.69463744140000006</v>
      </c>
      <c r="G3" s="2">
        <v>5.5073898991999997</v>
      </c>
      <c r="H3" s="2">
        <v>7.6152011962000001</v>
      </c>
      <c r="I3" s="2">
        <v>8.5887133985999995</v>
      </c>
      <c r="J3" s="2">
        <v>11.0825383724</v>
      </c>
      <c r="K3" s="2">
        <v>4.5237388273999999</v>
      </c>
      <c r="L3" s="2">
        <v>6.1061177326999996</v>
      </c>
      <c r="M3" s="2">
        <v>6168.8468995093999</v>
      </c>
      <c r="N3" s="2">
        <v>1658.5870486498</v>
      </c>
      <c r="O3" s="2">
        <v>2101.0067132703002</v>
      </c>
      <c r="P3" s="2">
        <v>165.47401102379999</v>
      </c>
    </row>
    <row r="4" spans="1:16" ht="15" thickBot="1" x14ac:dyDescent="0.35">
      <c r="A4" s="2">
        <v>15</v>
      </c>
      <c r="B4" s="2">
        <v>14.9978621331</v>
      </c>
      <c r="C4" s="2">
        <v>0.72606229450000004</v>
      </c>
      <c r="D4" s="2">
        <v>0.55991811290000004</v>
      </c>
      <c r="E4" s="2">
        <v>0.45826514359999998</v>
      </c>
      <c r="F4" s="2">
        <v>0.72173509479999998</v>
      </c>
      <c r="G4" s="2">
        <v>5.4305186717999998</v>
      </c>
      <c r="H4" s="2">
        <v>7.5733493634000002</v>
      </c>
      <c r="I4" s="2">
        <v>8.3966606174000002</v>
      </c>
      <c r="J4" s="2">
        <v>10.8292458715</v>
      </c>
      <c r="K4" s="2">
        <v>4.4836370139000001</v>
      </c>
      <c r="L4" s="2">
        <v>6.1780557331999999</v>
      </c>
      <c r="M4" s="2">
        <v>6934.6164162159002</v>
      </c>
      <c r="N4" s="2">
        <v>1627.5350594521001</v>
      </c>
      <c r="O4" s="2">
        <v>1863.7649058335001</v>
      </c>
      <c r="P4" s="2">
        <v>173.76527301670001</v>
      </c>
    </row>
    <row r="5" spans="1:16" ht="42" thickBot="1" x14ac:dyDescent="0.35">
      <c r="A5" s="2">
        <v>25</v>
      </c>
      <c r="B5" s="2">
        <v>24.486600108299999</v>
      </c>
      <c r="C5" s="2">
        <v>0.71474515890000001</v>
      </c>
      <c r="D5" s="2">
        <v>0.55372060980000004</v>
      </c>
      <c r="E5" s="2">
        <v>0.44538368350000002</v>
      </c>
      <c r="F5" s="2">
        <v>0.73286722879999999</v>
      </c>
      <c r="G5" s="2">
        <v>5.6999555787</v>
      </c>
      <c r="H5" s="2">
        <v>7.7416632674999999</v>
      </c>
      <c r="I5" s="2">
        <v>8.2496899811999995</v>
      </c>
      <c r="J5" s="2">
        <v>10.6400175367</v>
      </c>
      <c r="K5" s="2">
        <v>4.8860037239</v>
      </c>
      <c r="L5" s="2">
        <v>6.5513110919999997</v>
      </c>
      <c r="M5" s="2">
        <v>6110.3500639200001</v>
      </c>
      <c r="N5" s="2">
        <v>1647.1224110136</v>
      </c>
      <c r="O5" s="2" t="s">
        <v>41</v>
      </c>
      <c r="P5" s="2">
        <v>163.2525912186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udata </vt:lpstr>
      <vt:lpstr>cdata epsilon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2026-01-20T17:25:57Z</dcterms:modified>
</cp:coreProperties>
</file>