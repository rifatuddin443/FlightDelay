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D:\flight delay\stpn paper\STPN-main\cnn results\"/>
    </mc:Choice>
  </mc:AlternateContent>
  <xr:revisionPtr revIDLastSave="0" documentId="13_ncr:1_{7FEB81DB-29BB-40A8-A619-AB8B5F743B4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DATA OPACUS" sheetId="1" r:id="rId1"/>
    <sheet name="SIMPLE CNN UDATA" sheetId="4" r:id="rId2"/>
    <sheet name="Sheet2" sheetId="3" r:id="rId3"/>
    <sheet name="time" sheetId="2" r:id="rId4"/>
    <sheet name="UDATA OPACUS" sheetId="5" r:id="rId5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4" i="1" l="1"/>
  <c r="E34" i="1"/>
  <c r="F34" i="1"/>
  <c r="G34" i="1"/>
  <c r="H34" i="1"/>
  <c r="I34" i="1"/>
  <c r="J34" i="1"/>
  <c r="K34" i="1"/>
  <c r="L34" i="1"/>
  <c r="M34" i="1"/>
  <c r="N34" i="1"/>
  <c r="O34" i="1"/>
  <c r="C21" i="1"/>
  <c r="D21" i="1"/>
  <c r="E21" i="1"/>
  <c r="F21" i="1"/>
  <c r="G21" i="1"/>
  <c r="H21" i="1"/>
  <c r="I21" i="1"/>
  <c r="J21" i="1"/>
  <c r="C18" i="1"/>
  <c r="D18" i="1"/>
  <c r="E18" i="1"/>
  <c r="F18" i="1"/>
  <c r="G18" i="1"/>
  <c r="H18" i="1"/>
  <c r="I18" i="1"/>
  <c r="J18" i="1"/>
</calcChain>
</file>

<file path=xl/sharedStrings.xml><?xml version="1.0" encoding="utf-8"?>
<sst xmlns="http://schemas.openxmlformats.org/spreadsheetml/2006/main" count="204" uniqueCount="91">
  <si>
    <t>sigma</t>
  </si>
  <si>
    <t>classification_precision</t>
  </si>
  <si>
    <t>classification_recall</t>
  </si>
  <si>
    <t>classification_f1</t>
  </si>
  <si>
    <t>classification_accuracy</t>
  </si>
  <si>
    <t>regression_mae_delayed</t>
  </si>
  <si>
    <t>regression_rmse_delayed</t>
  </si>
  <si>
    <t>regression_mae_nondelayed</t>
  </si>
  <si>
    <t>regression_rmse_nondelayed</t>
  </si>
  <si>
    <t>regression_mae_overall</t>
  </si>
  <si>
    <t>regression_rmse_overall</t>
  </si>
  <si>
    <t>num_delayed_samples</t>
  </si>
  <si>
    <t>num_nondelayed_samples</t>
  </si>
  <si>
    <t>final_epsilon</t>
  </si>
  <si>
    <t>stage1_time_seconds</t>
  </si>
  <si>
    <t>stage2_time_seconds</t>
  </si>
  <si>
    <t>stage3_time_seconds</t>
  </si>
  <si>
    <t>total_training_time_seconds</t>
  </si>
  <si>
    <t>total_training_time_minutes</t>
  </si>
  <si>
    <t>train_samples</t>
  </si>
  <si>
    <t>val_samples</t>
  </si>
  <si>
    <t>test_samples</t>
  </si>
  <si>
    <t>15763 opacus_udata_cnn_dp_three_stage_summary_sigma1_00_20260110_202921.csv​</t>
  </si>
  <si>
    <t>15763 opacus_udata_cnn_dp_three_stage_summary_sigma2_00_20260110_202933.csv​</t>
  </si>
  <si>
    <t>Run ID / Description</t>
  </si>
  <si>
    <t>Dataset (train / val / test)</t>
  </si>
  <si>
    <t>Sigma (noise multiplier)</t>
  </si>
  <si>
    <t>Target ε</t>
  </si>
  <si>
    <t>Final ε</t>
  </si>
  <si>
    <t>Classification F1 (macro)</t>
  </si>
  <si>
    <t>Accuracy</t>
  </si>
  <si>
    <t>MAE delayed (min)</t>
  </si>
  <si>
    <t>MAE non-delayed (min)</t>
  </si>
  <si>
    <t>MAE overall (min)</t>
  </si>
  <si>
    <t>csv summary (three-stage, large cdata)</t>
  </si>
  <si>
    <t>55,218 / 7,871 / 15,763</t>
  </si>
  <si>
    <t>1.00 (from filename)</t>
  </si>
  <si>
    <t>run 20260110-19:39:46 (cdatasigma0.50)</t>
  </si>
  <si>
    <t>19,207 / 2,727 / 5,474</t>
  </si>
  <si>
    <t>run 20260110-19:42:23 (cdatasigma0.50, repeat)</t>
  </si>
  <si>
    <t>run 20260110-19:39:58 (cdatasigma1.00)</t>
  </si>
  <si>
    <t>opacus udata</t>
  </si>
  <si>
    <t>non opacus udata</t>
  </si>
  <si>
    <t>cdata opacus</t>
  </si>
  <si>
    <t>arch</t>
  </si>
  <si>
    <t>data</t>
  </si>
  <si>
    <t>split</t>
  </si>
  <si>
    <t>target_epsilon</t>
  </si>
  <si>
    <t>train_time_seconds</t>
  </si>
  <si>
    <t>train_time_minutes</t>
  </si>
  <si>
    <t>cnn</t>
  </si>
  <si>
    <t>udata</t>
  </si>
  <si>
    <t>test</t>
  </si>
  <si>
    <t>15763 cnnopacus_udata_sigma1_00_test_summary_20260111_003829.csv​</t>
  </si>
  <si>
    <t>15763 cnnopacus_udata_sigma2_00_test_summary_20260111_003219.csv​</t>
  </si>
  <si>
    <t>simple_cnn</t>
  </si>
  <si>
    <t>train</t>
  </si>
  <si>
    <t>15763 cnnopacus_simple_udata_sigma2_00_train_summary_20260111_051329.csv​</t>
  </si>
  <si>
    <t>15763 cnnopacus_simple_udata_sigma1_00_train_summary_20260111_210902.csv​</t>
  </si>
  <si>
    <t>cdata</t>
  </si>
  <si>
    <t>inf</t>
  </si>
  <si>
    <t>5474 cnnopacus_cdata_sigma0_00_train_summary_20260111_131412.csv​</t>
  </si>
  <si>
    <t>5474 cnnopacus_cdata_sigma1_00_train_summary_20260111_151301.csv​</t>
  </si>
  <si>
    <t>Data</t>
  </si>
  <si>
    <t>Run / Description</t>
  </si>
  <si>
    <t>Sigma</t>
  </si>
  <si>
    <t>F1 (macro)</t>
  </si>
  <si>
    <t>udata sigma1.00 (test)</t>
  </si>
  <si>
    <t>3.0340 cnnopacus_udata_sigma1_00_test_summary_20260111_003829.csv​</t>
  </si>
  <si>
    <t>udata sigma2.00 (test)</t>
  </si>
  <si>
    <t>2.8620 cnnopacus_udata_sigma2_00_test_summary_20260111_003219.csv​</t>
  </si>
  <si>
    <t>cdata sigma0.00 (train)</t>
  </si>
  <si>
    <t>cdata sigma1.00 (train)</t>
  </si>
  <si>
    <t>cdata sigma0.50 (avg of two runs)</t>
  </si>
  <si>
    <t xml:space="preserve">udata opacus </t>
  </si>
  <si>
    <t>Run ID (suffix)</t>
  </si>
  <si>
    <t>Ïƒ</t>
  </si>
  <si>
    <t>Final Îµ</t>
  </si>
  <si>
    <t>Cls macro P</t>
  </si>
  <si>
    <t>Cls macro R</t>
  </si>
  <si>
    <t>Cls macro F1</t>
  </si>
  <si>
    <t>Acc</t>
  </si>
  <si>
    <t>MAE delayed &gt;5</t>
  </si>
  <si>
    <t>RMSE delayed &gt;5</t>
  </si>
  <si>
    <t>MAE â‰¤5</t>
  </si>
  <si>
    <t>RMSE â‰¤5</t>
  </si>
  <si>
    <t>MAE overall</t>
  </si>
  <si>
    <t>RMSE overall</t>
  </si>
  <si>
    <t>022124 (run 1, Ïƒ=0.20)</t>
  </si>
  <si>
    <t>024111 (run 2, Ïƒ=0.20)</t>
  </si>
  <si>
    <t>014315 (run 3, Ïƒ=1.50)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</si>
</sst>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/>
      <top/>
      <bottom/>
      <diagonal/>
    </border>
    <border>
      <left style="medium">
        <color rgb="FFDDDDDD"/>
      </left>
      <right style="medium">
        <color rgb="FFDDDDDD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 wrapText="1"/>
    </xf>
    <xf numFmtId="0" fontId="1" fillId="3" borderId="1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1" fillId="2" borderId="3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0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'CDATA OPACUS'!$H$1</c:f>
              <c:strCache>
                <c:ptCount val="1"/>
                <c:pt idx="0">
                  <c:v>MAE delayed (min)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'CDATA OPACUS'!$C$2:$C$6</c:f>
              <c:numCache>
                <c:formatCode>General</c:formatCode>
                <c:ptCount val="5"/>
                <c:pt idx="0">
                  <c:v>0</c:v>
                </c:pt>
                <c:pt idx="1">
                  <c:v>0.2</c:v>
                </c:pt>
                <c:pt idx="2">
                  <c:v>0.5</c:v>
                </c:pt>
                <c:pt idx="3">
                  <c:v>1</c:v>
                </c:pt>
                <c:pt idx="4">
                  <c:v>1.5</c:v>
                </c:pt>
              </c:numCache>
            </c:numRef>
          </c:xVal>
          <c:yVal>
            <c:numRef>
              <c:f>'CDATA OPACUS'!$H$2:$H$6</c:f>
              <c:numCache>
                <c:formatCode>General</c:formatCode>
                <c:ptCount val="5"/>
                <c:pt idx="0">
                  <c:v>7.6581000000000001</c:v>
                </c:pt>
                <c:pt idx="1">
                  <c:v>8.2805999999999997</c:v>
                </c:pt>
                <c:pt idx="2">
                  <c:v>8.4463000000000008</c:v>
                </c:pt>
                <c:pt idx="3">
                  <c:v>8.9405000000000001</c:v>
                </c:pt>
                <c:pt idx="4">
                  <c:v>11.450900000000001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9FA-44F8-A581-1F453C4559BD}"/>
            </c:ext>
          </c:extLst>
        </c:ser>
        <c:ser>
          <c:idx val="1"/>
          <c:order val="1"/>
          <c:tx>
            <c:strRef>
              <c:f>'CDATA OPACUS'!$I$1</c:f>
              <c:strCache>
                <c:ptCount val="1"/>
                <c:pt idx="0">
                  <c:v>MAE non-delayed (min)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'CDATA OPACUS'!$C$2:$C$6</c:f>
              <c:numCache>
                <c:formatCode>General</c:formatCode>
                <c:ptCount val="5"/>
                <c:pt idx="0">
                  <c:v>0</c:v>
                </c:pt>
                <c:pt idx="1">
                  <c:v>0.2</c:v>
                </c:pt>
                <c:pt idx="2">
                  <c:v>0.5</c:v>
                </c:pt>
                <c:pt idx="3">
                  <c:v>1</c:v>
                </c:pt>
                <c:pt idx="4">
                  <c:v>1.5</c:v>
                </c:pt>
              </c:numCache>
            </c:numRef>
          </c:xVal>
          <c:yVal>
            <c:numRef>
              <c:f>'CDATA OPACUS'!$I$2:$I$6</c:f>
              <c:numCache>
                <c:formatCode>General</c:formatCode>
                <c:ptCount val="5"/>
                <c:pt idx="0">
                  <c:v>5.8148</c:v>
                </c:pt>
                <c:pt idx="1">
                  <c:v>4.5015999999999998</c:v>
                </c:pt>
                <c:pt idx="2">
                  <c:v>4.8064</c:v>
                </c:pt>
                <c:pt idx="3">
                  <c:v>4.51</c:v>
                </c:pt>
                <c:pt idx="4">
                  <c:v>2.5727000000000002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9FA-44F8-A581-1F453C4559BD}"/>
            </c:ext>
          </c:extLst>
        </c:ser>
        <c:ser>
          <c:idx val="2"/>
          <c:order val="2"/>
          <c:tx>
            <c:strRef>
              <c:f>'CDATA OPACUS'!$J$1</c:f>
              <c:strCache>
                <c:ptCount val="1"/>
                <c:pt idx="0">
                  <c:v>MAE overall (min)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'CDATA OPACUS'!$C$2:$C$6</c:f>
              <c:numCache>
                <c:formatCode>General</c:formatCode>
                <c:ptCount val="5"/>
                <c:pt idx="0">
                  <c:v>0</c:v>
                </c:pt>
                <c:pt idx="1">
                  <c:v>0.2</c:v>
                </c:pt>
                <c:pt idx="2">
                  <c:v>0.5</c:v>
                </c:pt>
                <c:pt idx="3">
                  <c:v>1</c:v>
                </c:pt>
                <c:pt idx="4">
                  <c:v>1.5</c:v>
                </c:pt>
              </c:numCache>
            </c:numRef>
          </c:xVal>
          <c:yVal>
            <c:numRef>
              <c:f>'CDATA OPACUS'!$J$2:$J$6</c:f>
              <c:numCache>
                <c:formatCode>General</c:formatCode>
                <c:ptCount val="5"/>
                <c:pt idx="0">
                  <c:v>6.2609000000000004</c:v>
                </c:pt>
                <c:pt idx="1">
                  <c:v>5.4160500000000003</c:v>
                </c:pt>
                <c:pt idx="2">
                  <c:v>5.6871999999999998</c:v>
                </c:pt>
                <c:pt idx="3">
                  <c:v>5.5821000000000005</c:v>
                </c:pt>
                <c:pt idx="4">
                  <c:v>4.7210999999999999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9FA-44F8-A581-1F453C4559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37480848"/>
        <c:axId val="337468368"/>
      </c:scatterChart>
      <c:valAx>
        <c:axId val="337480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468368"/>
        <c:crosses val="autoZero"/>
        <c:crossBetween val="midCat"/>
      </c:valAx>
      <c:valAx>
        <c:axId val="337468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374808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150845</xdr:colOff>
      <xdr:row>0</xdr:row>
      <xdr:rowOff>270589</xdr:rowOff>
    </xdr:from>
    <xdr:to>
      <xdr:col>16</xdr:col>
      <xdr:colOff>468086</xdr:colOff>
      <xdr:row>5</xdr:row>
      <xdr:rowOff>9332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808EF00-917D-4303-A13C-828D508701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50"/>
  <sheetViews>
    <sheetView tabSelected="1" zoomScale="98" zoomScaleNormal="70" workbookViewId="0">
      <selection activeCell="E5" sqref="E5"/>
    </sheetView>
  </sheetViews>
  <sheetFormatPr defaultRowHeight="14.4" x14ac:dyDescent="0.3"/>
  <cols>
    <col min="1" max="1" width="14.77734375" customWidth="1"/>
    <col min="4" max="4" width="0" hidden="1" customWidth="1"/>
    <col min="8" max="14" width="14.77734375" customWidth="1"/>
  </cols>
  <sheetData>
    <row r="1" spans="1:11" ht="42" thickBot="1" x14ac:dyDescent="0.35">
      <c r="A1" s="1" t="s">
        <v>63</v>
      </c>
      <c r="B1" s="1" t="s">
        <v>64</v>
      </c>
      <c r="C1" s="9" t="s">
        <v>65</v>
      </c>
      <c r="D1" s="9" t="s">
        <v>27</v>
      </c>
      <c r="E1" s="9" t="s">
        <v>28</v>
      </c>
      <c r="F1" s="9" t="s">
        <v>66</v>
      </c>
      <c r="G1" s="9" t="s">
        <v>30</v>
      </c>
      <c r="H1" s="9" t="s">
        <v>31</v>
      </c>
      <c r="I1" s="9" t="s">
        <v>32</v>
      </c>
      <c r="J1" s="9" t="s">
        <v>33</v>
      </c>
    </row>
    <row r="2" spans="1:11" ht="55.8" thickBot="1" x14ac:dyDescent="0.35">
      <c r="A2" s="2" t="s">
        <v>59</v>
      </c>
      <c r="B2" s="2" t="s">
        <v>71</v>
      </c>
      <c r="C2" s="10">
        <v>0</v>
      </c>
      <c r="D2" s="10">
        <v>15</v>
      </c>
      <c r="E2" s="10" t="s">
        <v>60</v>
      </c>
      <c r="F2" s="10">
        <v>0.57289999999999996</v>
      </c>
      <c r="G2" s="10">
        <v>0.69710000000000005</v>
      </c>
      <c r="H2" s="10">
        <v>7.6581000000000001</v>
      </c>
      <c r="I2" s="10">
        <v>5.8148</v>
      </c>
      <c r="J2" s="10">
        <v>6.2609000000000004</v>
      </c>
    </row>
    <row r="3" spans="1:11" ht="15" thickBot="1" x14ac:dyDescent="0.35">
      <c r="C3" s="11">
        <v>0.2</v>
      </c>
      <c r="D3" s="11"/>
      <c r="E3" s="11">
        <v>291.47749999999996</v>
      </c>
      <c r="F3" s="11">
        <v>0.5665</v>
      </c>
      <c r="G3" s="11">
        <v>0.71894999999999998</v>
      </c>
      <c r="H3" s="11">
        <v>8.2805999999999997</v>
      </c>
      <c r="I3" s="11">
        <v>4.5015999999999998</v>
      </c>
      <c r="J3" s="11">
        <v>5.4160500000000003</v>
      </c>
    </row>
    <row r="4" spans="1:11" ht="69.599999999999994" thickBot="1" x14ac:dyDescent="0.35">
      <c r="A4" s="2" t="s">
        <v>59</v>
      </c>
      <c r="B4" s="2" t="s">
        <v>73</v>
      </c>
      <c r="C4" s="10">
        <v>0.5</v>
      </c>
      <c r="D4" s="10">
        <v>11</v>
      </c>
      <c r="E4" s="10">
        <v>3.0015000000000001</v>
      </c>
      <c r="F4" s="10">
        <v>0.54479999999999995</v>
      </c>
      <c r="G4" s="10">
        <v>0.71479999999999999</v>
      </c>
      <c r="H4" s="10">
        <v>8.4463000000000008</v>
      </c>
      <c r="I4" s="10">
        <v>4.8064</v>
      </c>
      <c r="J4" s="10">
        <v>5.6871999999999998</v>
      </c>
    </row>
    <row r="5" spans="1:11" ht="55.8" thickBot="1" x14ac:dyDescent="0.35">
      <c r="A5" s="2" t="s">
        <v>59</v>
      </c>
      <c r="B5" s="2" t="s">
        <v>72</v>
      </c>
      <c r="C5" s="11">
        <v>1</v>
      </c>
      <c r="D5" s="11">
        <v>13</v>
      </c>
      <c r="E5" s="11">
        <v>0.28744999999999998</v>
      </c>
      <c r="F5" s="11">
        <v>0.50605</v>
      </c>
      <c r="G5" s="11">
        <v>0.72370000000000001</v>
      </c>
      <c r="H5" s="11">
        <v>8.9405000000000001</v>
      </c>
      <c r="I5" s="11">
        <v>4.51</v>
      </c>
      <c r="J5" s="11">
        <v>5.5821000000000005</v>
      </c>
    </row>
    <row r="6" spans="1:11" x14ac:dyDescent="0.3">
      <c r="C6" s="11">
        <v>1.5</v>
      </c>
      <c r="D6" s="11"/>
      <c r="E6" s="11">
        <v>0.219</v>
      </c>
      <c r="F6" s="11">
        <v>0.1434</v>
      </c>
      <c r="G6" s="11">
        <v>0.75539999999999996</v>
      </c>
      <c r="H6" s="11">
        <v>11.450900000000001</v>
      </c>
      <c r="I6" s="11">
        <v>2.5727000000000002</v>
      </c>
      <c r="J6" s="11">
        <v>4.7210999999999999</v>
      </c>
    </row>
    <row r="14" spans="1:11" ht="15" thickBot="1" x14ac:dyDescent="0.35"/>
    <row r="15" spans="1:11" ht="55.8" thickBot="1" x14ac:dyDescent="0.35">
      <c r="A15" s="1" t="s">
        <v>24</v>
      </c>
      <c r="B15" s="1" t="s">
        <v>25</v>
      </c>
      <c r="C15" s="1" t="s">
        <v>26</v>
      </c>
      <c r="D15" s="1" t="s">
        <v>27</v>
      </c>
      <c r="E15" s="1" t="s">
        <v>28</v>
      </c>
      <c r="F15" s="1" t="s">
        <v>29</v>
      </c>
      <c r="G15" s="1" t="s">
        <v>30</v>
      </c>
      <c r="H15" s="1" t="s">
        <v>31</v>
      </c>
      <c r="I15" s="1" t="s">
        <v>32</v>
      </c>
      <c r="J15" s="1" t="s">
        <v>33</v>
      </c>
      <c r="K15" s="7" t="s">
        <v>43</v>
      </c>
    </row>
    <row r="16" spans="1:11" ht="55.8" thickBot="1" x14ac:dyDescent="0.35">
      <c r="A16" s="2" t="s">
        <v>37</v>
      </c>
      <c r="B16" s="2" t="s">
        <v>38</v>
      </c>
      <c r="C16" s="2">
        <v>0.5</v>
      </c>
      <c r="D16" s="2">
        <v>11</v>
      </c>
      <c r="E16" s="2">
        <v>3.0579999999999998</v>
      </c>
      <c r="F16" s="2">
        <v>0.54600000000000004</v>
      </c>
      <c r="G16" s="2">
        <v>0.71589999999999998</v>
      </c>
      <c r="H16" s="2">
        <v>8.4255999999999993</v>
      </c>
      <c r="I16" s="2">
        <v>4.8490000000000002</v>
      </c>
      <c r="J16" s="2">
        <v>5.7145000000000001</v>
      </c>
    </row>
    <row r="17" spans="1:21" ht="55.8" thickBot="1" x14ac:dyDescent="0.35">
      <c r="A17" s="2" t="s">
        <v>39</v>
      </c>
      <c r="B17" s="2" t="s">
        <v>38</v>
      </c>
      <c r="C17" s="2">
        <v>0.5</v>
      </c>
      <c r="D17" s="2">
        <v>11</v>
      </c>
      <c r="E17" s="2">
        <v>2.9449999999999998</v>
      </c>
      <c r="F17" s="2">
        <v>0.54359999999999997</v>
      </c>
      <c r="G17" s="2">
        <v>0.71360000000000001</v>
      </c>
      <c r="H17" s="2">
        <v>8.4669000000000008</v>
      </c>
      <c r="I17" s="2">
        <v>4.7637</v>
      </c>
      <c r="J17" s="2">
        <v>5.6597999999999997</v>
      </c>
    </row>
    <row r="18" spans="1:21" ht="15" thickBot="1" x14ac:dyDescent="0.35">
      <c r="A18" s="6"/>
      <c r="B18" s="6"/>
      <c r="C18" s="6">
        <f t="shared" ref="C18:J18" si="0">AVERAGE(C16:C17)</f>
        <v>0.5</v>
      </c>
      <c r="D18" s="6">
        <f t="shared" si="0"/>
        <v>11</v>
      </c>
      <c r="E18" s="6">
        <f t="shared" si="0"/>
        <v>3.0015000000000001</v>
      </c>
      <c r="F18" s="6">
        <f t="shared" si="0"/>
        <v>0.54479999999999995</v>
      </c>
      <c r="G18" s="6">
        <f t="shared" si="0"/>
        <v>0.71475</v>
      </c>
      <c r="H18" s="6">
        <f t="shared" si="0"/>
        <v>8.4462499999999991</v>
      </c>
      <c r="I18" s="6">
        <f t="shared" si="0"/>
        <v>4.8063500000000001</v>
      </c>
      <c r="J18" s="6">
        <f t="shared" si="0"/>
        <v>5.6871499999999999</v>
      </c>
    </row>
    <row r="19" spans="1:21" ht="55.8" thickBot="1" x14ac:dyDescent="0.35">
      <c r="A19" s="6" t="s">
        <v>40</v>
      </c>
      <c r="B19" s="6" t="s">
        <v>38</v>
      </c>
      <c r="C19" s="6">
        <v>1</v>
      </c>
      <c r="D19" s="6">
        <v>11</v>
      </c>
      <c r="E19" s="6">
        <v>0.28499999999999998</v>
      </c>
      <c r="F19" s="6">
        <v>0.51080000000000003</v>
      </c>
      <c r="G19" s="6">
        <v>0.71840000000000004</v>
      </c>
      <c r="H19" s="6">
        <v>8.8719000000000001</v>
      </c>
      <c r="I19" s="6">
        <v>4.6685999999999996</v>
      </c>
      <c r="J19" s="6">
        <v>5.6856999999999998</v>
      </c>
    </row>
    <row r="20" spans="1:21" ht="55.8" thickBot="1" x14ac:dyDescent="0.35">
      <c r="A20" s="2" t="s">
        <v>59</v>
      </c>
      <c r="B20" s="2" t="s">
        <v>72</v>
      </c>
      <c r="C20" s="2">
        <v>1</v>
      </c>
      <c r="D20" s="2">
        <v>15</v>
      </c>
      <c r="E20" s="2">
        <v>0.28989999999999999</v>
      </c>
      <c r="F20" s="2">
        <v>0.50129999999999997</v>
      </c>
      <c r="G20" s="2">
        <v>0.72899999999999998</v>
      </c>
      <c r="H20" s="2">
        <v>9.0091000000000001</v>
      </c>
      <c r="I20" s="2">
        <v>4.3513999999999999</v>
      </c>
      <c r="J20" s="2">
        <v>5.4785000000000004</v>
      </c>
    </row>
    <row r="21" spans="1:21" ht="15" thickBot="1" x14ac:dyDescent="0.35">
      <c r="A21" s="2"/>
      <c r="B21" s="2"/>
      <c r="C21" s="2">
        <f t="shared" ref="C21:J21" si="1">AVERAGE(C19:C20)</f>
        <v>1</v>
      </c>
      <c r="D21" s="2">
        <f t="shared" si="1"/>
        <v>13</v>
      </c>
      <c r="E21" s="2">
        <f t="shared" si="1"/>
        <v>0.28744999999999998</v>
      </c>
      <c r="F21" s="2">
        <f t="shared" si="1"/>
        <v>0.50605</v>
      </c>
      <c r="G21" s="2">
        <f t="shared" si="1"/>
        <v>0.72370000000000001</v>
      </c>
      <c r="H21" s="2">
        <f t="shared" si="1"/>
        <v>8.9405000000000001</v>
      </c>
      <c r="I21" s="2">
        <f t="shared" si="1"/>
        <v>4.51</v>
      </c>
      <c r="J21" s="2">
        <f t="shared" si="1"/>
        <v>5.5821000000000005</v>
      </c>
    </row>
    <row r="22" spans="1:21" ht="37.799999999999997" customHeight="1" thickBot="1" x14ac:dyDescent="0.35">
      <c r="A22" s="1" t="s">
        <v>44</v>
      </c>
      <c r="B22" s="1" t="s">
        <v>45</v>
      </c>
      <c r="C22" s="1" t="s">
        <v>46</v>
      </c>
      <c r="D22" s="1" t="s">
        <v>0</v>
      </c>
      <c r="E22" s="1" t="s">
        <v>1</v>
      </c>
      <c r="F22" s="1" t="s">
        <v>2</v>
      </c>
      <c r="G22" s="1" t="s">
        <v>3</v>
      </c>
      <c r="H22" s="1" t="s">
        <v>4</v>
      </c>
      <c r="I22" s="1" t="s">
        <v>5</v>
      </c>
      <c r="J22" s="1" t="s">
        <v>6</v>
      </c>
      <c r="K22" s="1" t="s">
        <v>7</v>
      </c>
      <c r="L22" s="1" t="s">
        <v>8</v>
      </c>
      <c r="M22" s="1" t="s">
        <v>9</v>
      </c>
      <c r="N22" s="1" t="s">
        <v>10</v>
      </c>
      <c r="O22" s="1" t="s">
        <v>11</v>
      </c>
      <c r="P22" s="1" t="s">
        <v>12</v>
      </c>
      <c r="Q22" s="1" t="s">
        <v>47</v>
      </c>
      <c r="R22" s="1" t="s">
        <v>13</v>
      </c>
      <c r="S22" s="1" t="s">
        <v>19</v>
      </c>
      <c r="T22" s="1" t="s">
        <v>20</v>
      </c>
      <c r="U22" s="1" t="s">
        <v>21</v>
      </c>
    </row>
    <row r="23" spans="1:21" ht="37.799999999999997" customHeight="1" thickBot="1" x14ac:dyDescent="0.35">
      <c r="A23" s="2" t="s">
        <v>50</v>
      </c>
      <c r="B23" s="2" t="s">
        <v>59</v>
      </c>
      <c r="C23" s="2" t="s">
        <v>56</v>
      </c>
      <c r="D23" s="2">
        <v>0</v>
      </c>
      <c r="E23" s="2">
        <v>0.43448823746586301</v>
      </c>
      <c r="F23" s="2">
        <v>0.84283430614755905</v>
      </c>
      <c r="G23" s="2">
        <v>0.57293888245186997</v>
      </c>
      <c r="H23" s="2">
        <v>0.69712641578367895</v>
      </c>
      <c r="I23" s="2">
        <v>7.6580879165429998</v>
      </c>
      <c r="J23" s="2">
        <v>9.8612681900349894</v>
      </c>
      <c r="K23" s="2">
        <v>5.8148316295339102</v>
      </c>
      <c r="L23" s="2">
        <v>7.2610820726998204</v>
      </c>
      <c r="M23" s="2">
        <v>6.26086665151694</v>
      </c>
      <c r="N23" s="2">
        <v>7.9684797667271798</v>
      </c>
      <c r="O23" s="2">
        <v>132461</v>
      </c>
      <c r="P23" s="2">
        <v>414939</v>
      </c>
      <c r="Q23" s="2">
        <v>15</v>
      </c>
      <c r="R23" s="2" t="s">
        <v>60</v>
      </c>
      <c r="S23" s="2">
        <v>19207</v>
      </c>
      <c r="T23" s="2">
        <v>2727</v>
      </c>
      <c r="U23" s="2" t="s">
        <v>61</v>
      </c>
    </row>
    <row r="24" spans="1:21" ht="37.799999999999997" customHeight="1" thickBot="1" x14ac:dyDescent="0.35">
      <c r="A24" s="2" t="s">
        <v>50</v>
      </c>
      <c r="B24" s="2" t="s">
        <v>59</v>
      </c>
      <c r="C24" s="2" t="s">
        <v>56</v>
      </c>
      <c r="D24" s="2">
        <v>1</v>
      </c>
      <c r="E24" s="2">
        <v>0.451711130641269</v>
      </c>
      <c r="F24" s="2">
        <v>0.56337277787309803</v>
      </c>
      <c r="G24" s="2">
        <v>0.50133694505330895</v>
      </c>
      <c r="H24" s="2">
        <v>0.72903544026303502</v>
      </c>
      <c r="I24" s="2">
        <v>9.0091117852003304</v>
      </c>
      <c r="J24" s="2">
        <v>11.5548400874446</v>
      </c>
      <c r="K24" s="2">
        <v>4.35137521844376</v>
      </c>
      <c r="L24" s="2">
        <v>5.9354274582352504</v>
      </c>
      <c r="M24" s="2">
        <v>5.4784640810106904</v>
      </c>
      <c r="N24" s="2">
        <v>7.6819604837801796</v>
      </c>
      <c r="O24" s="2">
        <v>132461</v>
      </c>
      <c r="P24" s="2">
        <v>414939</v>
      </c>
      <c r="Q24" s="2">
        <v>15</v>
      </c>
      <c r="R24" s="2">
        <v>0.28990400510647302</v>
      </c>
      <c r="S24" s="2">
        <v>19207</v>
      </c>
      <c r="T24" s="2">
        <v>2727</v>
      </c>
      <c r="U24" s="2" t="s">
        <v>62</v>
      </c>
    </row>
    <row r="31" spans="1:21" x14ac:dyDescent="0.3">
      <c r="C31" t="s">
        <v>75</v>
      </c>
      <c r="D31" t="s">
        <v>76</v>
      </c>
      <c r="E31" t="s">
        <v>77</v>
      </c>
      <c r="F31" t="s">
        <v>78</v>
      </c>
      <c r="G31" t="s">
        <v>79</v>
      </c>
      <c r="H31" t="s">
        <v>80</v>
      </c>
      <c r="I31" t="s">
        <v>81</v>
      </c>
      <c r="J31" t="s">
        <v>82</v>
      </c>
      <c r="K31" t="s">
        <v>83</v>
      </c>
      <c r="L31" t="s">
        <v>84</v>
      </c>
      <c r="M31" t="s">
        <v>85</v>
      </c>
      <c r="N31" t="s">
        <v>86</v>
      </c>
      <c r="O31" t="s">
        <v>87</v>
      </c>
    </row>
    <row r="32" spans="1:21" x14ac:dyDescent="0.3">
      <c r="C32" t="s">
        <v>88</v>
      </c>
      <c r="D32">
        <v>0.2</v>
      </c>
      <c r="E32">
        <v>285.28100000000001</v>
      </c>
      <c r="F32">
        <v>0.45700000000000002</v>
      </c>
      <c r="G32">
        <v>0.72729999999999995</v>
      </c>
      <c r="H32">
        <v>0.56120000000000003</v>
      </c>
      <c r="I32">
        <v>0.72540000000000004</v>
      </c>
      <c r="J32">
        <v>8.3797999999999995</v>
      </c>
      <c r="K32">
        <v>10.845499999999999</v>
      </c>
      <c r="L32">
        <v>4.4284999999999997</v>
      </c>
      <c r="M32">
        <v>6.0862999999999996</v>
      </c>
      <c r="N32">
        <v>5.3845999999999998</v>
      </c>
      <c r="O32">
        <v>7.5194000000000001</v>
      </c>
    </row>
    <row r="33" spans="1:15" x14ac:dyDescent="0.3">
      <c r="C33" t="s">
        <v>89</v>
      </c>
      <c r="D33">
        <v>0.2</v>
      </c>
      <c r="E33">
        <v>297.67399999999998</v>
      </c>
      <c r="F33">
        <v>0.4466</v>
      </c>
      <c r="G33">
        <v>0.79479999999999995</v>
      </c>
      <c r="H33">
        <v>0.57179999999999997</v>
      </c>
      <c r="I33">
        <v>0.71250000000000002</v>
      </c>
      <c r="J33">
        <v>8.1814</v>
      </c>
      <c r="K33">
        <v>10.552199999999999</v>
      </c>
      <c r="L33">
        <v>4.5747</v>
      </c>
      <c r="M33">
        <v>6.3528000000000002</v>
      </c>
      <c r="N33">
        <v>5.4474999999999998</v>
      </c>
      <c r="O33">
        <v>7.5853000000000002</v>
      </c>
    </row>
    <row r="34" spans="1:15" x14ac:dyDescent="0.3">
      <c r="D34">
        <f>AVERAGE(D32:D33)</f>
        <v>0.2</v>
      </c>
      <c r="E34">
        <f>AVERAGE(E32:E33)</f>
        <v>291.47749999999996</v>
      </c>
      <c r="F34">
        <f>AVERAGE(F32:F33)</f>
        <v>0.45179999999999998</v>
      </c>
      <c r="G34">
        <f>AVERAGE(G32:G33)</f>
        <v>0.76105</v>
      </c>
      <c r="H34">
        <f>AVERAGE(H32:H33)</f>
        <v>0.5665</v>
      </c>
      <c r="I34">
        <f>AVERAGE(I32:I33)</f>
        <v>0.71894999999999998</v>
      </c>
      <c r="J34">
        <f>AVERAGE(J32:J33)</f>
        <v>8.2805999999999997</v>
      </c>
      <c r="K34">
        <f>AVERAGE(K32:K33)</f>
        <v>10.69885</v>
      </c>
      <c r="L34">
        <f>AVERAGE(L32:L33)</f>
        <v>4.5015999999999998</v>
      </c>
      <c r="M34">
        <f>AVERAGE(M32:M33)</f>
        <v>6.2195499999999999</v>
      </c>
      <c r="N34">
        <f>AVERAGE(N32:N33)</f>
        <v>5.4160500000000003</v>
      </c>
      <c r="O34">
        <f>AVERAGE(O32:O33)</f>
        <v>7.5523500000000006</v>
      </c>
    </row>
    <row r="35" spans="1:15" x14ac:dyDescent="0.3">
      <c r="C35" t="s">
        <v>90</v>
      </c>
      <c r="D35">
        <v>1.5</v>
      </c>
      <c r="E35">
        <v>0.219</v>
      </c>
      <c r="F35">
        <v>0.46989999999999998</v>
      </c>
      <c r="G35">
        <v>8.4900000000000003E-2</v>
      </c>
      <c r="H35">
        <v>0.1434</v>
      </c>
      <c r="I35">
        <v>0.75539999999999996</v>
      </c>
      <c r="J35">
        <v>11.450900000000001</v>
      </c>
      <c r="K35">
        <v>14.106400000000001</v>
      </c>
      <c r="L35">
        <v>2.5727000000000002</v>
      </c>
      <c r="M35">
        <v>3.6145999999999998</v>
      </c>
      <c r="N35">
        <v>4.7210999999999999</v>
      </c>
      <c r="O35">
        <v>7.6195000000000004</v>
      </c>
    </row>
    <row r="47" spans="1:15" ht="15" thickBot="1" x14ac:dyDescent="0.35"/>
    <row r="48" spans="1:15" ht="55.8" thickBot="1" x14ac:dyDescent="0.35">
      <c r="A48" s="1" t="s">
        <v>0</v>
      </c>
      <c r="B48" s="1" t="s">
        <v>1</v>
      </c>
      <c r="C48" s="1" t="s">
        <v>2</v>
      </c>
      <c r="D48" s="1" t="s">
        <v>3</v>
      </c>
      <c r="E48" s="1" t="s">
        <v>4</v>
      </c>
      <c r="F48" s="1" t="s">
        <v>5</v>
      </c>
      <c r="G48" s="1" t="s">
        <v>6</v>
      </c>
      <c r="H48" s="1" t="s">
        <v>7</v>
      </c>
      <c r="I48" s="1" t="s">
        <v>8</v>
      </c>
      <c r="J48" s="1" t="s">
        <v>9</v>
      </c>
      <c r="K48" s="1" t="s">
        <v>10</v>
      </c>
      <c r="L48" s="1" t="s">
        <v>11</v>
      </c>
      <c r="M48" s="1" t="s">
        <v>12</v>
      </c>
      <c r="N48" s="1" t="s">
        <v>13</v>
      </c>
    </row>
    <row r="49" spans="1:14" ht="15" thickBot="1" x14ac:dyDescent="0.35">
      <c r="A49" s="2">
        <v>1</v>
      </c>
      <c r="B49" s="2">
        <v>0.44367262209337399</v>
      </c>
      <c r="C49" s="2">
        <v>1.46259770652995E-2</v>
      </c>
      <c r="D49" s="2">
        <v>2.82764220013264E-2</v>
      </c>
      <c r="E49" s="2">
        <v>0.81599541421592303</v>
      </c>
      <c r="F49" s="2">
        <v>12.310812756096301</v>
      </c>
      <c r="G49" s="2">
        <v>14.577960783877099</v>
      </c>
      <c r="H49" s="2">
        <v>0.95138285007312295</v>
      </c>
      <c r="I49" s="2">
        <v>1.45057793488848</v>
      </c>
      <c r="J49" s="2">
        <v>3.03402392662086</v>
      </c>
      <c r="K49" s="2">
        <v>6.37819032139575</v>
      </c>
      <c r="L49" s="2">
        <v>404599</v>
      </c>
      <c r="M49" s="2">
        <v>1802221</v>
      </c>
      <c r="N49" s="2">
        <v>0.12813553514614001</v>
      </c>
    </row>
    <row r="50" spans="1:14" ht="15" thickBot="1" x14ac:dyDescent="0.35">
      <c r="A50" s="2">
        <v>2</v>
      </c>
      <c r="B50" s="2">
        <v>0.26816671281738003</v>
      </c>
      <c r="C50" s="2">
        <v>1.1342648985602399E-3</v>
      </c>
      <c r="D50" s="2">
        <v>2.2580678749840001E-3</v>
      </c>
      <c r="E50" s="2">
        <v>0.81654416762580695</v>
      </c>
      <c r="F50" s="2">
        <v>13.375944175026399</v>
      </c>
      <c r="G50" s="2">
        <v>15.473525828896999</v>
      </c>
      <c r="H50" s="2">
        <v>0.50164456508782196</v>
      </c>
      <c r="I50" s="2">
        <v>0.99998352736971297</v>
      </c>
      <c r="J50" s="2">
        <v>2.8620222795736101</v>
      </c>
      <c r="K50" s="2">
        <v>6.6868375709511803</v>
      </c>
      <c r="L50" s="2">
        <v>404599</v>
      </c>
      <c r="M50" s="2">
        <v>1802221</v>
      </c>
      <c r="N50" s="2">
        <v>5.3868287199408497E-2</v>
      </c>
    </row>
  </sheetData>
  <pageMargins left="0.7" right="0.7" top="0.75" bottom="0.75" header="0.3" footer="0.3"/>
  <pageSetup paperSize="9"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893EC-4489-4535-9420-D2D268993AF9}">
  <dimension ref="A1:S3"/>
  <sheetViews>
    <sheetView workbookViewId="0">
      <selection activeCell="M2" sqref="M2"/>
    </sheetView>
  </sheetViews>
  <sheetFormatPr defaultRowHeight="14.4" x14ac:dyDescent="0.3"/>
  <cols>
    <col min="6" max="6" width="0" hidden="1" customWidth="1"/>
    <col min="8" max="8" width="0" hidden="1" customWidth="1"/>
    <col min="10" max="10" width="0" hidden="1" customWidth="1"/>
  </cols>
  <sheetData>
    <row r="1" spans="1:19" ht="55.8" thickBot="1" x14ac:dyDescent="0.35">
      <c r="A1" s="1" t="s">
        <v>44</v>
      </c>
      <c r="B1" s="1" t="s">
        <v>45</v>
      </c>
      <c r="C1" s="1" t="s">
        <v>46</v>
      </c>
      <c r="D1" s="1" t="s">
        <v>0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">
        <v>47</v>
      </c>
      <c r="N1" s="1" t="s">
        <v>13</v>
      </c>
      <c r="O1" s="1" t="s">
        <v>48</v>
      </c>
      <c r="P1" s="1" t="s">
        <v>49</v>
      </c>
      <c r="Q1" s="1" t="s">
        <v>19</v>
      </c>
      <c r="R1" s="1" t="s">
        <v>20</v>
      </c>
      <c r="S1" s="1" t="s">
        <v>21</v>
      </c>
    </row>
    <row r="2" spans="1:19" ht="152.4" thickBot="1" x14ac:dyDescent="0.35">
      <c r="A2" s="2" t="s">
        <v>55</v>
      </c>
      <c r="B2" s="2" t="s">
        <v>51</v>
      </c>
      <c r="C2" s="2" t="s">
        <v>56</v>
      </c>
      <c r="D2" s="2">
        <v>2</v>
      </c>
      <c r="E2" s="2">
        <v>13.0274830403055</v>
      </c>
      <c r="F2" s="2">
        <v>15.2098195042417</v>
      </c>
      <c r="G2" s="2">
        <v>0.59194196238078201</v>
      </c>
      <c r="H2" s="2">
        <v>1.1517848410009499</v>
      </c>
      <c r="I2" s="2">
        <v>2.87187756410058</v>
      </c>
      <c r="J2" s="2">
        <v>6.5952311055348503</v>
      </c>
      <c r="K2" s="2">
        <v>404599</v>
      </c>
      <c r="L2" s="2">
        <v>1802221</v>
      </c>
      <c r="M2" s="2">
        <v>15</v>
      </c>
      <c r="N2" s="2">
        <v>2.99738144300889E-2</v>
      </c>
      <c r="O2" s="2">
        <v>13827.0564200878</v>
      </c>
      <c r="P2" s="2">
        <v>230.450940334796</v>
      </c>
      <c r="Q2" s="2">
        <v>55218</v>
      </c>
      <c r="R2" s="2">
        <v>7871</v>
      </c>
      <c r="S2" s="2" t="s">
        <v>57</v>
      </c>
    </row>
    <row r="3" spans="1:19" ht="152.4" thickBot="1" x14ac:dyDescent="0.35">
      <c r="A3" s="2" t="s">
        <v>55</v>
      </c>
      <c r="B3" s="2" t="s">
        <v>51</v>
      </c>
      <c r="C3" s="2" t="s">
        <v>56</v>
      </c>
      <c r="D3" s="2">
        <v>1</v>
      </c>
      <c r="E3" s="2">
        <v>12.5845272845339</v>
      </c>
      <c r="F3" s="2">
        <v>14.855511211609</v>
      </c>
      <c r="G3" s="2">
        <v>0.70679506345033205</v>
      </c>
      <c r="H3" s="2">
        <v>1.30048600471769</v>
      </c>
      <c r="I3" s="2">
        <v>2.8844618323386899</v>
      </c>
      <c r="J3" s="2">
        <v>6.4685283903450097</v>
      </c>
      <c r="K3" s="2">
        <v>404599</v>
      </c>
      <c r="L3" s="2">
        <v>1802221</v>
      </c>
      <c r="M3" s="2">
        <v>15</v>
      </c>
      <c r="N3" s="2">
        <v>8.5511823460318201E-2</v>
      </c>
      <c r="O3" s="2">
        <v>18617.414036989201</v>
      </c>
      <c r="P3" s="2">
        <v>310.29023394981999</v>
      </c>
      <c r="Q3" s="2">
        <v>55218</v>
      </c>
      <c r="R3" s="2">
        <v>7871</v>
      </c>
      <c r="S3" s="2" t="s">
        <v>58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CC8DD-ACC4-41BB-82CE-4167213D5E66}">
  <dimension ref="A1:L2"/>
  <sheetViews>
    <sheetView workbookViewId="0">
      <selection activeCell="O5" sqref="O5"/>
    </sheetView>
  </sheetViews>
  <sheetFormatPr defaultRowHeight="14.4" x14ac:dyDescent="0.3"/>
  <sheetData>
    <row r="1" spans="1:12" ht="55.8" thickBot="1" x14ac:dyDescent="0.35">
      <c r="A1" s="1" t="s">
        <v>24</v>
      </c>
      <c r="B1" s="1" t="s">
        <v>25</v>
      </c>
      <c r="C1" s="1" t="s">
        <v>26</v>
      </c>
      <c r="D1" s="1" t="s">
        <v>27</v>
      </c>
      <c r="E1" s="1" t="s">
        <v>28</v>
      </c>
      <c r="F1" s="1" t="s">
        <v>29</v>
      </c>
      <c r="G1" s="1" t="s">
        <v>30</v>
      </c>
      <c r="H1" s="1" t="s">
        <v>31</v>
      </c>
      <c r="I1" s="1" t="s">
        <v>32</v>
      </c>
      <c r="J1" s="1" t="s">
        <v>33</v>
      </c>
      <c r="L1" s="5" t="s">
        <v>42</v>
      </c>
    </row>
    <row r="2" spans="1:12" ht="83.4" thickBot="1" x14ac:dyDescent="0.35">
      <c r="A2" s="2" t="s">
        <v>34</v>
      </c>
      <c r="B2" s="2" t="s">
        <v>35</v>
      </c>
      <c r="C2" s="2" t="s">
        <v>36</v>
      </c>
      <c r="D2" s="2">
        <v>15</v>
      </c>
      <c r="E2" s="2">
        <v>101.42</v>
      </c>
      <c r="F2" s="2">
        <v>0.36109999999999998</v>
      </c>
      <c r="G2" s="2">
        <v>0.63029999999999997</v>
      </c>
      <c r="H2" s="2">
        <v>7.4020000000000001</v>
      </c>
      <c r="I2" s="2">
        <v>3.7728000000000002</v>
      </c>
      <c r="J2" s="2">
        <v>6.2095000000000002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2EE0-B23C-4003-BB7F-31D7884A295E}">
  <dimension ref="B1:J3"/>
  <sheetViews>
    <sheetView workbookViewId="0">
      <selection activeCell="B1" sqref="B1:B3"/>
    </sheetView>
  </sheetViews>
  <sheetFormatPr defaultRowHeight="14.4" x14ac:dyDescent="0.3"/>
  <cols>
    <col min="10" max="10" width="59.109375" customWidth="1"/>
  </cols>
  <sheetData>
    <row r="1" spans="2:10" ht="55.8" thickBot="1" x14ac:dyDescent="0.35">
      <c r="B1" s="1" t="s">
        <v>0</v>
      </c>
      <c r="C1" s="1" t="s">
        <v>14</v>
      </c>
      <c r="D1" s="1" t="s">
        <v>15</v>
      </c>
      <c r="E1" s="1" t="s">
        <v>16</v>
      </c>
      <c r="F1" s="1" t="s">
        <v>17</v>
      </c>
      <c r="G1" s="1" t="s">
        <v>18</v>
      </c>
      <c r="H1" s="1" t="s">
        <v>19</v>
      </c>
      <c r="I1" s="1" t="s">
        <v>20</v>
      </c>
      <c r="J1" s="1" t="s">
        <v>21</v>
      </c>
    </row>
    <row r="2" spans="2:10" ht="40.799999999999997" customHeight="1" thickBot="1" x14ac:dyDescent="0.35">
      <c r="B2" s="2">
        <v>1</v>
      </c>
      <c r="C2" s="2">
        <v>13124.564647912899</v>
      </c>
      <c r="D2" s="2">
        <v>7795.16486883163</v>
      </c>
      <c r="E2" s="2">
        <v>10717.9422125816</v>
      </c>
      <c r="F2" s="2">
        <v>31637.671729326201</v>
      </c>
      <c r="G2" s="2">
        <v>527.29452882210398</v>
      </c>
      <c r="H2" s="2">
        <v>55218</v>
      </c>
      <c r="I2" s="2">
        <v>7871</v>
      </c>
      <c r="J2" s="2" t="s">
        <v>22</v>
      </c>
    </row>
    <row r="3" spans="2:10" ht="43.8" customHeight="1" thickBot="1" x14ac:dyDescent="0.35">
      <c r="B3" s="2">
        <v>2</v>
      </c>
      <c r="C3" s="2">
        <v>12956.0221140384</v>
      </c>
      <c r="D3" s="2">
        <v>6803.9040315151196</v>
      </c>
      <c r="E3" s="2">
        <v>11683.4277651309</v>
      </c>
      <c r="F3" s="2">
        <v>31443.353910684498</v>
      </c>
      <c r="G3" s="2">
        <v>524.05589851140905</v>
      </c>
      <c r="H3" s="2">
        <v>55218</v>
      </c>
      <c r="I3" s="2">
        <v>7871</v>
      </c>
      <c r="J3" s="2" t="s">
        <v>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616933-7BB7-49D4-8217-210D6D217CF4}">
  <dimension ref="A1:U13"/>
  <sheetViews>
    <sheetView zoomScale="56" zoomScaleNormal="56" workbookViewId="0">
      <selection activeCell="S17" sqref="S17"/>
    </sheetView>
  </sheetViews>
  <sheetFormatPr defaultRowHeight="14.4" x14ac:dyDescent="0.3"/>
  <sheetData>
    <row r="1" spans="1:21" ht="55.8" thickBot="1" x14ac:dyDescent="0.35">
      <c r="A1" s="1" t="s">
        <v>63</v>
      </c>
      <c r="B1" s="1" t="s">
        <v>64</v>
      </c>
      <c r="C1" s="1" t="s">
        <v>65</v>
      </c>
      <c r="D1" s="1" t="s">
        <v>27</v>
      </c>
      <c r="E1" s="1" t="s">
        <v>28</v>
      </c>
      <c r="F1" s="1" t="s">
        <v>66</v>
      </c>
      <c r="G1" s="1" t="s">
        <v>30</v>
      </c>
      <c r="H1" s="1" t="s">
        <v>31</v>
      </c>
      <c r="I1" s="1" t="s">
        <v>32</v>
      </c>
      <c r="J1" s="1" t="s">
        <v>33</v>
      </c>
      <c r="M1" s="8" t="s">
        <v>74</v>
      </c>
    </row>
    <row r="2" spans="1:21" ht="138.6" thickBot="1" x14ac:dyDescent="0.35">
      <c r="A2" s="2" t="s">
        <v>51</v>
      </c>
      <c r="B2" s="2" t="s">
        <v>67</v>
      </c>
      <c r="C2" s="2">
        <v>1</v>
      </c>
      <c r="D2" s="2">
        <v>15</v>
      </c>
      <c r="E2" s="2">
        <v>0.12809999999999999</v>
      </c>
      <c r="F2" s="2">
        <v>2.8299999999999999E-2</v>
      </c>
      <c r="G2" s="2">
        <v>0.81599999999999995</v>
      </c>
      <c r="H2" s="2">
        <v>12.3108</v>
      </c>
      <c r="I2" s="2">
        <v>0.95140000000000002</v>
      </c>
      <c r="J2" s="2" t="s">
        <v>68</v>
      </c>
    </row>
    <row r="3" spans="1:21" ht="138.6" thickBot="1" x14ac:dyDescent="0.35">
      <c r="A3" s="2" t="s">
        <v>51</v>
      </c>
      <c r="B3" s="2" t="s">
        <v>69</v>
      </c>
      <c r="C3" s="2">
        <v>2</v>
      </c>
      <c r="D3" s="2">
        <v>15</v>
      </c>
      <c r="E3" s="2">
        <v>5.3900000000000003E-2</v>
      </c>
      <c r="F3" s="2">
        <v>2.3E-3</v>
      </c>
      <c r="G3" s="2">
        <v>0.8165</v>
      </c>
      <c r="H3" s="2">
        <v>13.3759</v>
      </c>
      <c r="I3" s="2">
        <v>0.50160000000000005</v>
      </c>
      <c r="J3" s="2" t="s">
        <v>70</v>
      </c>
    </row>
    <row r="4" spans="1:21" ht="15" thickBot="1" x14ac:dyDescent="0.35"/>
    <row r="5" spans="1:21" ht="55.8" thickBot="1" x14ac:dyDescent="0.35">
      <c r="A5" s="1" t="s">
        <v>0</v>
      </c>
      <c r="B5" s="3" t="s">
        <v>9</v>
      </c>
      <c r="C5" s="1" t="s">
        <v>13</v>
      </c>
      <c r="D5" s="1" t="s">
        <v>1</v>
      </c>
      <c r="E5" s="1" t="s">
        <v>2</v>
      </c>
      <c r="F5" s="1" t="s">
        <v>3</v>
      </c>
      <c r="G5" s="1" t="s">
        <v>4</v>
      </c>
      <c r="H5" s="1" t="s">
        <v>5</v>
      </c>
      <c r="I5" s="1" t="s">
        <v>7</v>
      </c>
      <c r="K5" s="5" t="s">
        <v>41</v>
      </c>
    </row>
    <row r="6" spans="1:21" ht="15" thickBot="1" x14ac:dyDescent="0.35">
      <c r="A6" s="2">
        <v>1</v>
      </c>
      <c r="B6" s="4">
        <v>3.03402392662086</v>
      </c>
      <c r="C6" s="2">
        <v>0.12813553514614001</v>
      </c>
      <c r="D6" s="2">
        <v>0.44367262209337399</v>
      </c>
      <c r="E6" s="2">
        <v>1.46259770652995E-2</v>
      </c>
      <c r="F6" s="2">
        <v>2.82764220013264E-2</v>
      </c>
      <c r="G6" s="2">
        <v>0.81599541421592303</v>
      </c>
      <c r="H6" s="2">
        <v>12.310812756096301</v>
      </c>
      <c r="I6" s="2">
        <v>0.95138285007312295</v>
      </c>
    </row>
    <row r="7" spans="1:21" ht="15" thickBot="1" x14ac:dyDescent="0.35">
      <c r="A7" s="2">
        <v>2</v>
      </c>
      <c r="B7" s="4">
        <v>2.8620222795736101</v>
      </c>
      <c r="C7" s="2">
        <v>5.3868287199408497E-2</v>
      </c>
      <c r="D7" s="2">
        <v>0.26816671281738003</v>
      </c>
      <c r="E7" s="2">
        <v>1.1342648985602399E-3</v>
      </c>
      <c r="F7" s="2">
        <v>2.2580678749840001E-3</v>
      </c>
      <c r="G7" s="2">
        <v>0.81654416762580695</v>
      </c>
      <c r="H7" s="2">
        <v>13.375944175026399</v>
      </c>
      <c r="I7" s="2">
        <v>0.50164456508782196</v>
      </c>
    </row>
    <row r="10" spans="1:21" ht="15" thickBot="1" x14ac:dyDescent="0.35"/>
    <row r="11" spans="1:21" ht="37.799999999999997" customHeight="1" thickBot="1" x14ac:dyDescent="0.35">
      <c r="A11" s="1" t="s">
        <v>44</v>
      </c>
      <c r="B11" s="1" t="s">
        <v>45</v>
      </c>
      <c r="C11" s="1" t="s">
        <v>46</v>
      </c>
      <c r="D11" s="1" t="s">
        <v>0</v>
      </c>
      <c r="E11" s="1" t="s">
        <v>1</v>
      </c>
      <c r="F11" s="1" t="s">
        <v>2</v>
      </c>
      <c r="G11" s="1" t="s">
        <v>3</v>
      </c>
      <c r="H11" s="1" t="s">
        <v>4</v>
      </c>
      <c r="I11" s="1" t="s">
        <v>5</v>
      </c>
      <c r="J11" s="1" t="s">
        <v>6</v>
      </c>
      <c r="K11" s="1" t="s">
        <v>7</v>
      </c>
      <c r="L11" s="1" t="s">
        <v>8</v>
      </c>
      <c r="M11" s="1" t="s">
        <v>9</v>
      </c>
      <c r="N11" s="1" t="s">
        <v>10</v>
      </c>
      <c r="O11" s="1" t="s">
        <v>11</v>
      </c>
      <c r="P11" s="1" t="s">
        <v>12</v>
      </c>
      <c r="Q11" s="1" t="s">
        <v>47</v>
      </c>
      <c r="R11" s="1" t="s">
        <v>13</v>
      </c>
      <c r="S11" s="1" t="s">
        <v>19</v>
      </c>
      <c r="T11" s="1" t="s">
        <v>20</v>
      </c>
      <c r="U11" s="1" t="s">
        <v>21</v>
      </c>
    </row>
    <row r="12" spans="1:21" ht="37.799999999999997" customHeight="1" thickBot="1" x14ac:dyDescent="0.35">
      <c r="A12" s="2" t="s">
        <v>50</v>
      </c>
      <c r="B12" s="2" t="s">
        <v>51</v>
      </c>
      <c r="C12" s="2" t="s">
        <v>52</v>
      </c>
      <c r="D12" s="2">
        <v>1</v>
      </c>
      <c r="E12" s="2">
        <v>0.44367262209337399</v>
      </c>
      <c r="F12" s="2">
        <v>1.46259770652995E-2</v>
      </c>
      <c r="G12" s="2">
        <v>2.82764220013264E-2</v>
      </c>
      <c r="H12" s="2">
        <v>0.81599541421592303</v>
      </c>
      <c r="I12" s="2">
        <v>12.310812756096301</v>
      </c>
      <c r="J12" s="2">
        <v>14.577960783877099</v>
      </c>
      <c r="K12" s="2">
        <v>0.95138285007312295</v>
      </c>
      <c r="L12" s="2">
        <v>1.45057793488848</v>
      </c>
      <c r="M12" s="2">
        <v>3.03402392662086</v>
      </c>
      <c r="N12" s="2">
        <v>6.37819032139575</v>
      </c>
      <c r="O12" s="2">
        <v>404599</v>
      </c>
      <c r="P12" s="2">
        <v>1802221</v>
      </c>
      <c r="Q12" s="2">
        <v>15</v>
      </c>
      <c r="R12" s="2">
        <v>0.12813553514614001</v>
      </c>
      <c r="S12" s="2">
        <v>0</v>
      </c>
      <c r="T12" s="2">
        <v>0</v>
      </c>
      <c r="U12" s="2" t="s">
        <v>53</v>
      </c>
    </row>
    <row r="13" spans="1:21" ht="37.799999999999997" customHeight="1" thickBot="1" x14ac:dyDescent="0.35">
      <c r="A13" s="2" t="s">
        <v>50</v>
      </c>
      <c r="B13" s="2" t="s">
        <v>51</v>
      </c>
      <c r="C13" s="2" t="s">
        <v>52</v>
      </c>
      <c r="D13" s="2">
        <v>2</v>
      </c>
      <c r="E13" s="2">
        <v>0.26816671281738003</v>
      </c>
      <c r="F13" s="2">
        <v>1.1342648985602399E-3</v>
      </c>
      <c r="G13" s="2">
        <v>2.2580678749840001E-3</v>
      </c>
      <c r="H13" s="2">
        <v>0.81654416762580695</v>
      </c>
      <c r="I13" s="2">
        <v>13.375944175026399</v>
      </c>
      <c r="J13" s="2">
        <v>15.473525828896999</v>
      </c>
      <c r="K13" s="2">
        <v>0.50164456508782196</v>
      </c>
      <c r="L13" s="2">
        <v>0.99998352736971297</v>
      </c>
      <c r="M13" s="2">
        <v>2.8620222795736101</v>
      </c>
      <c r="N13" s="2">
        <v>6.6868375709511803</v>
      </c>
      <c r="O13" s="2">
        <v>404599</v>
      </c>
      <c r="P13" s="2">
        <v>1802221</v>
      </c>
      <c r="Q13" s="2">
        <v>15</v>
      </c>
      <c r="R13" s="2">
        <v>5.3868287199408497E-2</v>
      </c>
      <c r="S13" s="2">
        <v>0</v>
      </c>
      <c r="T13" s="2">
        <v>0</v>
      </c>
      <c r="U13" s="2" t="s">
        <v>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CDATA OPACUS</vt:lpstr>
      <vt:lpstr>SIMPLE CNN UDATA</vt:lpstr>
      <vt:lpstr>Sheet2</vt:lpstr>
      <vt:lpstr>time</vt:lpstr>
      <vt:lpstr>UDATA OPACUS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2015-06-05T18:17:20Z</dcterms:created>
  <dcterms:modified xsi:type="dcterms:W3CDTF">2026-01-13T09:31:16Z</dcterms:modified>
</cp:coreProperties>
</file>