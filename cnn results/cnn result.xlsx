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flight delay\stpn paper\STPN-main\cnn results\"/>
    </mc:Choice>
  </mc:AlternateContent>
  <xr:revisionPtr revIDLastSave="0" documentId="13_ncr:1_{801516EC-A020-4718-8824-9CCB064796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3" r:id="rId2"/>
    <sheet name="time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H14" i="1"/>
  <c r="I14" i="1"/>
  <c r="J14" i="1"/>
</calcChain>
</file>

<file path=xl/sharedStrings.xml><?xml version="1.0" encoding="utf-8"?>
<sst xmlns="http://schemas.openxmlformats.org/spreadsheetml/2006/main" count="66" uniqueCount="44">
  <si>
    <t>sigma</t>
  </si>
  <si>
    <t>classification_precision</t>
  </si>
  <si>
    <t>classification_recall</t>
  </si>
  <si>
    <t>classification_f1</t>
  </si>
  <si>
    <t>classification_accuracy</t>
  </si>
  <si>
    <t>regression_mae_delayed</t>
  </si>
  <si>
    <t>regression_rmse_delayed</t>
  </si>
  <si>
    <t>regression_mae_nondelayed</t>
  </si>
  <si>
    <t>regression_rmse_nondelayed</t>
  </si>
  <si>
    <t>regression_mae_overall</t>
  </si>
  <si>
    <t>regression_rmse_overall</t>
  </si>
  <si>
    <t>num_delayed_samples</t>
  </si>
  <si>
    <t>num_nondelayed_samples</t>
  </si>
  <si>
    <t>final_epsilon</t>
  </si>
  <si>
    <t>stage1_time_seconds</t>
  </si>
  <si>
    <t>stage2_time_seconds</t>
  </si>
  <si>
    <t>stage3_time_seconds</t>
  </si>
  <si>
    <t>total_training_time_seconds</t>
  </si>
  <si>
    <t>total_training_time_minutes</t>
  </si>
  <si>
    <t>train_samples</t>
  </si>
  <si>
    <t>val_samples</t>
  </si>
  <si>
    <t>test_samples</t>
  </si>
  <si>
    <t>15763 opacus_udata_cnn_dp_three_stage_summary_sigma1_00_20260110_202921.csv​</t>
  </si>
  <si>
    <t>15763 opacus_udata_cnn_dp_three_stage_summary_sigma2_00_20260110_202933.csv​</t>
  </si>
  <si>
    <t>Run ID / Description</t>
  </si>
  <si>
    <t>Dataset (train / val / test)</t>
  </si>
  <si>
    <t>Sigma (noise multiplier)</t>
  </si>
  <si>
    <t>Target ε</t>
  </si>
  <si>
    <t>Final ε</t>
  </si>
  <si>
    <t>Classification F1 (macro)</t>
  </si>
  <si>
    <t>Accuracy</t>
  </si>
  <si>
    <t>MAE delayed (min)</t>
  </si>
  <si>
    <t>MAE non-delayed (min)</t>
  </si>
  <si>
    <t>MAE overall (min)</t>
  </si>
  <si>
    <t>csv summary (three-stage, large cdata)</t>
  </si>
  <si>
    <t>55,218 / 7,871 / 15,763</t>
  </si>
  <si>
    <t>1.00 (from filename)</t>
  </si>
  <si>
    <t>run 20260110-19:39:46 (cdatasigma0.50)</t>
  </si>
  <si>
    <t>19,207 / 2,727 / 5,474</t>
  </si>
  <si>
    <t>run 20260110-19:42:23 (cdatasigma0.50, repeat)</t>
  </si>
  <si>
    <t>run 20260110-19:39:58 (cdatasigma1.00)</t>
  </si>
  <si>
    <t>opacus udata</t>
  </si>
  <si>
    <t>non opacus udata</t>
  </si>
  <si>
    <t>cdata opacus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</si>
</sst>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4" workbookViewId="0">
      <selection activeCell="L15" sqref="L15"/>
    </sheetView>
  </sheetViews>
  <sheetFormatPr defaultRowHeight="14.4" x14ac:dyDescent="0.3"/>
  <cols>
    <col min="1" max="1" width="14.77734375" customWidth="1"/>
    <col min="8" max="14" width="14.77734375" customWidth="1"/>
  </cols>
  <sheetData>
    <row r="1" spans="1:11" ht="24.6" customHeight="1" thickBot="1" x14ac:dyDescent="0.35">
      <c r="A1" s="1" t="s">
        <v>0</v>
      </c>
      <c r="B1" s="3" t="s">
        <v>9</v>
      </c>
      <c r="C1" s="1" t="s">
        <v>13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7</v>
      </c>
      <c r="K1" s="5" t="s">
        <v>41</v>
      </c>
    </row>
    <row r="2" spans="1:11" ht="15" thickBot="1" x14ac:dyDescent="0.35">
      <c r="A2" s="2">
        <v>1</v>
      </c>
      <c r="B2" s="4">
        <v>3.03402392662086</v>
      </c>
      <c r="C2" s="2">
        <v>0.12813553514614001</v>
      </c>
      <c r="D2" s="2">
        <v>0.44367262209337399</v>
      </c>
      <c r="E2" s="2">
        <v>1.46259770652995E-2</v>
      </c>
      <c r="F2" s="2">
        <v>2.82764220013264E-2</v>
      </c>
      <c r="G2" s="2">
        <v>0.81599541421592303</v>
      </c>
      <c r="H2" s="2">
        <v>12.310812756096301</v>
      </c>
      <c r="I2" s="2">
        <v>0.95138285007312295</v>
      </c>
    </row>
    <row r="3" spans="1:11" ht="15" thickBot="1" x14ac:dyDescent="0.35">
      <c r="A3" s="2">
        <v>2</v>
      </c>
      <c r="B3" s="4">
        <v>2.8620222795736101</v>
      </c>
      <c r="C3" s="2">
        <v>5.3868287199408497E-2</v>
      </c>
      <c r="D3" s="2">
        <v>0.26816671281738003</v>
      </c>
      <c r="E3" s="2">
        <v>1.1342648985602399E-3</v>
      </c>
      <c r="F3" s="2">
        <v>2.2580678749840001E-3</v>
      </c>
      <c r="G3" s="2">
        <v>0.81654416762580695</v>
      </c>
      <c r="H3" s="2">
        <v>13.375944175026399</v>
      </c>
      <c r="I3" s="2">
        <v>0.50164456508782196</v>
      </c>
    </row>
    <row r="10" spans="1:11" ht="15" thickBot="1" x14ac:dyDescent="0.35"/>
    <row r="11" spans="1:11" ht="55.8" thickBot="1" x14ac:dyDescent="0.35">
      <c r="A11" s="1" t="s">
        <v>24</v>
      </c>
      <c r="B11" s="1" t="s">
        <v>25</v>
      </c>
      <c r="C11" s="1" t="s">
        <v>26</v>
      </c>
      <c r="D11" s="1" t="s">
        <v>27</v>
      </c>
      <c r="E11" s="1" t="s">
        <v>28</v>
      </c>
      <c r="F11" s="1" t="s">
        <v>29</v>
      </c>
      <c r="G11" s="1" t="s">
        <v>30</v>
      </c>
      <c r="H11" s="1" t="s">
        <v>31</v>
      </c>
      <c r="I11" s="1" t="s">
        <v>32</v>
      </c>
      <c r="J11" s="1" t="s">
        <v>33</v>
      </c>
      <c r="K11" s="7" t="s">
        <v>43</v>
      </c>
    </row>
    <row r="12" spans="1:11" ht="55.8" thickBot="1" x14ac:dyDescent="0.35">
      <c r="A12" s="2" t="s">
        <v>37</v>
      </c>
      <c r="B12" s="2" t="s">
        <v>38</v>
      </c>
      <c r="C12" s="2">
        <v>0.5</v>
      </c>
      <c r="D12" s="2">
        <v>11</v>
      </c>
      <c r="E12" s="2">
        <v>3.0579999999999998</v>
      </c>
      <c r="F12" s="2">
        <v>0.54600000000000004</v>
      </c>
      <c r="G12" s="2">
        <v>0.71589999999999998</v>
      </c>
      <c r="H12" s="2">
        <v>8.4255999999999993</v>
      </c>
      <c r="I12" s="2">
        <v>4.8490000000000002</v>
      </c>
      <c r="J12" s="2">
        <v>5.7145000000000001</v>
      </c>
    </row>
    <row r="13" spans="1:11" ht="55.8" thickBot="1" x14ac:dyDescent="0.35">
      <c r="A13" s="2" t="s">
        <v>39</v>
      </c>
      <c r="B13" s="2" t="s">
        <v>38</v>
      </c>
      <c r="C13" s="2">
        <v>0.5</v>
      </c>
      <c r="D13" s="2">
        <v>11</v>
      </c>
      <c r="E13" s="2">
        <v>2.9449999999999998</v>
      </c>
      <c r="F13" s="2">
        <v>0.54359999999999997</v>
      </c>
      <c r="G13" s="2">
        <v>0.71360000000000001</v>
      </c>
      <c r="H13" s="2">
        <v>8.4669000000000008</v>
      </c>
      <c r="I13" s="2">
        <v>4.7637</v>
      </c>
      <c r="J13" s="2">
        <v>5.6597999999999997</v>
      </c>
    </row>
    <row r="14" spans="1:11" ht="15" thickBot="1" x14ac:dyDescent="0.35">
      <c r="A14" s="6"/>
      <c r="B14" s="6"/>
      <c r="C14" s="6">
        <f>AVERAGE(C12:C13)</f>
        <v>0.5</v>
      </c>
      <c r="D14" s="6">
        <f>AVERAGE(D12:D13)</f>
        <v>11</v>
      </c>
      <c r="E14" s="6">
        <f>AVERAGE(E12:E13)</f>
        <v>3.0015000000000001</v>
      </c>
      <c r="F14" s="6">
        <f>AVERAGE(F12:F13)</f>
        <v>0.54479999999999995</v>
      </c>
      <c r="G14" s="6">
        <f>AVERAGE(G12:G13)</f>
        <v>0.71475</v>
      </c>
      <c r="H14" s="6">
        <f>AVERAGE(H12:H13)</f>
        <v>8.4462499999999991</v>
      </c>
      <c r="I14" s="6">
        <f>AVERAGE(I12:I13)</f>
        <v>4.8063500000000001</v>
      </c>
      <c r="J14" s="6">
        <f>AVERAGE(J12:J13)</f>
        <v>5.6871499999999999</v>
      </c>
    </row>
    <row r="15" spans="1:11" ht="55.8" thickBot="1" x14ac:dyDescent="0.35">
      <c r="A15" s="6" t="s">
        <v>40</v>
      </c>
      <c r="B15" s="6" t="s">
        <v>38</v>
      </c>
      <c r="C15" s="6">
        <v>1</v>
      </c>
      <c r="D15" s="6">
        <v>11</v>
      </c>
      <c r="E15" s="6">
        <v>0.28499999999999998</v>
      </c>
      <c r="F15" s="6">
        <v>0.51080000000000003</v>
      </c>
      <c r="G15" s="6">
        <v>0.71840000000000004</v>
      </c>
      <c r="H15" s="6">
        <v>8.8719000000000001</v>
      </c>
      <c r="I15" s="6">
        <v>4.6685999999999996</v>
      </c>
      <c r="J15" s="6">
        <v>5.6856999999999998</v>
      </c>
    </row>
    <row r="70" spans="1:14" ht="15" thickBot="1" x14ac:dyDescent="0.35"/>
    <row r="71" spans="1:14" ht="55.8" thickBot="1" x14ac:dyDescent="0.35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</row>
    <row r="72" spans="1:14" ht="15" thickBot="1" x14ac:dyDescent="0.35">
      <c r="A72" s="2">
        <v>1</v>
      </c>
      <c r="B72" s="2">
        <v>0.44367262209337399</v>
      </c>
      <c r="C72" s="2">
        <v>1.46259770652995E-2</v>
      </c>
      <c r="D72" s="2">
        <v>2.82764220013264E-2</v>
      </c>
      <c r="E72" s="2">
        <v>0.81599541421592303</v>
      </c>
      <c r="F72" s="2">
        <v>12.310812756096301</v>
      </c>
      <c r="G72" s="2">
        <v>14.577960783877099</v>
      </c>
      <c r="H72" s="2">
        <v>0.95138285007312295</v>
      </c>
      <c r="I72" s="2">
        <v>1.45057793488848</v>
      </c>
      <c r="J72" s="2">
        <v>3.03402392662086</v>
      </c>
      <c r="K72" s="2">
        <v>6.37819032139575</v>
      </c>
      <c r="L72" s="2">
        <v>404599</v>
      </c>
      <c r="M72" s="2">
        <v>1802221</v>
      </c>
      <c r="N72" s="2">
        <v>0.12813553514614001</v>
      </c>
    </row>
    <row r="73" spans="1:14" ht="15" thickBot="1" x14ac:dyDescent="0.35">
      <c r="A73" s="2">
        <v>2</v>
      </c>
      <c r="B73" s="2">
        <v>0.26816671281738003</v>
      </c>
      <c r="C73" s="2">
        <v>1.1342648985602399E-3</v>
      </c>
      <c r="D73" s="2">
        <v>2.2580678749840001E-3</v>
      </c>
      <c r="E73" s="2">
        <v>0.81654416762580695</v>
      </c>
      <c r="F73" s="2">
        <v>13.375944175026399</v>
      </c>
      <c r="G73" s="2">
        <v>15.473525828896999</v>
      </c>
      <c r="H73" s="2">
        <v>0.50164456508782196</v>
      </c>
      <c r="I73" s="2">
        <v>0.99998352736971297</v>
      </c>
      <c r="J73" s="2">
        <v>2.8620222795736101</v>
      </c>
      <c r="K73" s="2">
        <v>6.6868375709511803</v>
      </c>
      <c r="L73" s="2">
        <v>404599</v>
      </c>
      <c r="M73" s="2">
        <v>1802221</v>
      </c>
      <c r="N73" s="2">
        <v>5.3868287199408497E-2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CC8DD-ACC4-41BB-82CE-4167213D5E66}">
  <dimension ref="A1:L2"/>
  <sheetViews>
    <sheetView workbookViewId="0">
      <selection activeCell="O5" sqref="O5"/>
    </sheetView>
  </sheetViews>
  <sheetFormatPr defaultRowHeight="14.4" x14ac:dyDescent="0.3"/>
  <sheetData>
    <row r="1" spans="1:12" ht="55.8" thickBot="1" x14ac:dyDescent="0.3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L1" s="5" t="s">
        <v>42</v>
      </c>
    </row>
    <row r="2" spans="1:12" ht="83.4" thickBot="1" x14ac:dyDescent="0.35">
      <c r="A2" s="2" t="s">
        <v>34</v>
      </c>
      <c r="B2" s="2" t="s">
        <v>35</v>
      </c>
      <c r="C2" s="2" t="s">
        <v>36</v>
      </c>
      <c r="D2" s="2">
        <v>15</v>
      </c>
      <c r="E2" s="2">
        <v>101.42</v>
      </c>
      <c r="F2" s="2">
        <v>0.36109999999999998</v>
      </c>
      <c r="G2" s="2">
        <v>0.63029999999999997</v>
      </c>
      <c r="H2" s="2">
        <v>7.4020000000000001</v>
      </c>
      <c r="I2" s="2">
        <v>3.7728000000000002</v>
      </c>
      <c r="J2" s="2">
        <v>6.2095000000000002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2EE0-B23C-4003-BB7F-31D7884A295E}">
  <dimension ref="B1:J3"/>
  <sheetViews>
    <sheetView workbookViewId="0">
      <selection activeCell="B1" sqref="B1:B3"/>
    </sheetView>
  </sheetViews>
  <sheetFormatPr defaultRowHeight="14.4" x14ac:dyDescent="0.3"/>
  <cols>
    <col min="10" max="10" width="59.109375" customWidth="1"/>
  </cols>
  <sheetData>
    <row r="1" spans="2:10" ht="55.8" thickBot="1" x14ac:dyDescent="0.35">
      <c r="B1" s="1" t="s">
        <v>0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2:10" ht="40.799999999999997" customHeight="1" thickBot="1" x14ac:dyDescent="0.35">
      <c r="B2" s="2">
        <v>1</v>
      </c>
      <c r="C2" s="2">
        <v>13124.564647912899</v>
      </c>
      <c r="D2" s="2">
        <v>7795.16486883163</v>
      </c>
      <c r="E2" s="2">
        <v>10717.9422125816</v>
      </c>
      <c r="F2" s="2">
        <v>31637.671729326201</v>
      </c>
      <c r="G2" s="2">
        <v>527.29452882210398</v>
      </c>
      <c r="H2" s="2">
        <v>55218</v>
      </c>
      <c r="I2" s="2">
        <v>7871</v>
      </c>
      <c r="J2" s="2" t="s">
        <v>22</v>
      </c>
    </row>
    <row r="3" spans="2:10" ht="43.8" customHeight="1" thickBot="1" x14ac:dyDescent="0.35">
      <c r="B3" s="2">
        <v>2</v>
      </c>
      <c r="C3" s="2">
        <v>12956.0221140384</v>
      </c>
      <c r="D3" s="2">
        <v>6803.9040315151196</v>
      </c>
      <c r="E3" s="2">
        <v>11683.4277651309</v>
      </c>
      <c r="F3" s="2">
        <v>31443.353910684498</v>
      </c>
      <c r="G3" s="2">
        <v>524.05589851140905</v>
      </c>
      <c r="H3" s="2">
        <v>55218</v>
      </c>
      <c r="I3" s="2">
        <v>7871</v>
      </c>
      <c r="J3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2026-01-11T07:04:26Z</dcterms:modified>
</cp:coreProperties>
</file>